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vincentpechstein/LanguageLearning/"/>
    </mc:Choice>
  </mc:AlternateContent>
  <xr:revisionPtr revIDLastSave="0" documentId="13_ncr:1_{F4A9A5AE-5C69-D944-A6B1-2E8CC932DD34}" xr6:coauthVersionLast="47" xr6:coauthVersionMax="47" xr10:uidLastSave="{00000000-0000-0000-0000-000000000000}"/>
  <bookViews>
    <workbookView xWindow="0" yWindow="660" windowWidth="30240" windowHeight="18980" activeTab="1" xr2:uid="{00000000-000D-0000-FFFF-FFFF00000000}"/>
  </bookViews>
  <sheets>
    <sheet name="Dashboard" sheetId="1" r:id="rId1"/>
    <sheet name="Grammatik Tracker" sheetId="2" r:id="rId2"/>
    <sheet name="Sheet3" sheetId="6" r:id="rId3"/>
    <sheet name="Session Feedback" sheetId="5" r:id="rId4"/>
    <sheet name="Anleitung" sheetId="3" r:id="rId5"/>
    <sheet name="Prompts" sheetId="4" r:id="rId6"/>
  </sheets>
  <definedNames>
    <definedName name="_xlnm._FilterDatabase" localSheetId="1" hidden="1">'Grammatik Tracker'!$A$1:$J$318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1" l="1"/>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249" i="2"/>
  <c r="I248" i="2"/>
  <c r="A249" i="2"/>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H39" i="2"/>
  <c r="H23" i="2"/>
  <c r="I247" i="2"/>
  <c r="H247" i="2"/>
  <c r="I246" i="2"/>
  <c r="H246" i="2"/>
  <c r="I245" i="2"/>
  <c r="H245" i="2"/>
  <c r="I244" i="2"/>
  <c r="H244" i="2"/>
  <c r="I243" i="2"/>
  <c r="H243" i="2"/>
  <c r="I242" i="2"/>
  <c r="H242" i="2"/>
  <c r="I241" i="2"/>
  <c r="H241" i="2"/>
  <c r="I240" i="2"/>
  <c r="H240" i="2"/>
  <c r="I239" i="2"/>
  <c r="H239" i="2"/>
  <c r="I238" i="2"/>
  <c r="H238" i="2"/>
  <c r="I237" i="2"/>
  <c r="H237" i="2"/>
  <c r="I236" i="2"/>
  <c r="H236" i="2"/>
  <c r="I235" i="2"/>
  <c r="H235" i="2"/>
  <c r="I234" i="2"/>
  <c r="H234" i="2"/>
  <c r="I233" i="2"/>
  <c r="H233" i="2"/>
  <c r="I232" i="2"/>
  <c r="H232" i="2"/>
  <c r="I231" i="2"/>
  <c r="H231" i="2"/>
  <c r="I230" i="2"/>
  <c r="H230" i="2"/>
  <c r="I229" i="2"/>
  <c r="H229" i="2"/>
  <c r="I228" i="2"/>
  <c r="H228" i="2"/>
  <c r="I227" i="2"/>
  <c r="H227" i="2"/>
  <c r="I226" i="2"/>
  <c r="H226" i="2"/>
  <c r="I225" i="2"/>
  <c r="H225" i="2"/>
  <c r="I224" i="2"/>
  <c r="H224" i="2"/>
  <c r="I223" i="2"/>
  <c r="H223" i="2"/>
  <c r="I222" i="2"/>
  <c r="H222" i="2"/>
  <c r="I221" i="2"/>
  <c r="H221" i="2"/>
  <c r="I220" i="2"/>
  <c r="H220" i="2"/>
  <c r="I219" i="2"/>
  <c r="H219" i="2"/>
  <c r="I218" i="2"/>
  <c r="H218" i="2"/>
  <c r="I217" i="2"/>
  <c r="H217" i="2"/>
  <c r="I216" i="2"/>
  <c r="H216" i="2"/>
  <c r="I215" i="2"/>
  <c r="H215" i="2"/>
  <c r="I214" i="2"/>
  <c r="H214" i="2"/>
  <c r="I213" i="2"/>
  <c r="H213" i="2"/>
  <c r="I212" i="2"/>
  <c r="H212" i="2"/>
  <c r="I211" i="2"/>
  <c r="H211" i="2"/>
  <c r="I210" i="2"/>
  <c r="H210" i="2"/>
  <c r="I209" i="2"/>
  <c r="H209" i="2"/>
  <c r="I208" i="2"/>
  <c r="H208" i="2"/>
  <c r="I207" i="2"/>
  <c r="H207" i="2"/>
  <c r="I206" i="2"/>
  <c r="H206" i="2"/>
  <c r="I205" i="2"/>
  <c r="H205" i="2"/>
  <c r="I204" i="2"/>
  <c r="H204" i="2"/>
  <c r="I203" i="2"/>
  <c r="H203" i="2"/>
  <c r="I202" i="2"/>
  <c r="H202" i="2"/>
  <c r="I201" i="2"/>
  <c r="H201" i="2"/>
  <c r="I200" i="2"/>
  <c r="H200" i="2"/>
  <c r="I199" i="2"/>
  <c r="H199" i="2"/>
  <c r="I198" i="2"/>
  <c r="H198" i="2"/>
  <c r="I197" i="2"/>
  <c r="H197" i="2"/>
  <c r="I196" i="2"/>
  <c r="H196" i="2"/>
  <c r="I195" i="2"/>
  <c r="H195" i="2"/>
  <c r="I194" i="2"/>
  <c r="H194" i="2"/>
  <c r="I193" i="2"/>
  <c r="H193" i="2"/>
  <c r="I192" i="2"/>
  <c r="H192" i="2"/>
  <c r="I191" i="2"/>
  <c r="H191" i="2"/>
  <c r="I190" i="2"/>
  <c r="H190" i="2"/>
  <c r="I189" i="2"/>
  <c r="H189" i="2"/>
  <c r="I188" i="2"/>
  <c r="H188" i="2"/>
  <c r="I187" i="2"/>
  <c r="H187" i="2"/>
  <c r="I186" i="2"/>
  <c r="H186" i="2"/>
  <c r="I185" i="2"/>
  <c r="H185" i="2"/>
  <c r="I184" i="2"/>
  <c r="H184" i="2"/>
  <c r="I183" i="2"/>
  <c r="H183" i="2"/>
  <c r="I182" i="2"/>
  <c r="H182" i="2"/>
  <c r="I181" i="2"/>
  <c r="H181" i="2"/>
  <c r="I180" i="2"/>
  <c r="H180" i="2"/>
  <c r="I179" i="2"/>
  <c r="H179" i="2"/>
  <c r="I178" i="2"/>
  <c r="H178" i="2"/>
  <c r="I177" i="2"/>
  <c r="H177" i="2"/>
  <c r="I176" i="2"/>
  <c r="H176" i="2"/>
  <c r="I175" i="2"/>
  <c r="H175" i="2"/>
  <c r="I3" i="2"/>
  <c r="H3" i="2"/>
  <c r="I174" i="2"/>
  <c r="H174" i="2"/>
  <c r="I173" i="2"/>
  <c r="H173" i="2"/>
  <c r="I172" i="2"/>
  <c r="H172" i="2"/>
  <c r="I171" i="2"/>
  <c r="H171" i="2"/>
  <c r="I28" i="2"/>
  <c r="H28" i="2"/>
  <c r="I170" i="2"/>
  <c r="H170" i="2"/>
  <c r="I169" i="2"/>
  <c r="H169" i="2"/>
  <c r="I168" i="2"/>
  <c r="H168" i="2"/>
  <c r="I35" i="2"/>
  <c r="H35" i="2"/>
  <c r="I167" i="2"/>
  <c r="H167" i="2"/>
  <c r="I166" i="2"/>
  <c r="H166" i="2"/>
  <c r="I165" i="2"/>
  <c r="H165" i="2"/>
  <c r="I164" i="2"/>
  <c r="H164" i="2"/>
  <c r="I4" i="2"/>
  <c r="H4" i="2"/>
  <c r="I163" i="2"/>
  <c r="H163" i="2"/>
  <c r="I162" i="2"/>
  <c r="H162" i="2"/>
  <c r="I161" i="2"/>
  <c r="H161" i="2"/>
  <c r="I160" i="2"/>
  <c r="H160" i="2"/>
  <c r="I159" i="2"/>
  <c r="H159" i="2"/>
  <c r="I10" i="2"/>
  <c r="H10" i="2"/>
  <c r="I31" i="2"/>
  <c r="H31" i="2"/>
  <c r="I158" i="2"/>
  <c r="H158" i="2"/>
  <c r="I157" i="2"/>
  <c r="H157" i="2"/>
  <c r="I156" i="2"/>
  <c r="H156" i="2"/>
  <c r="I9" i="2"/>
  <c r="H9" i="2"/>
  <c r="I155" i="2"/>
  <c r="H155" i="2"/>
  <c r="I154" i="2"/>
  <c r="H154" i="2"/>
  <c r="I15" i="2"/>
  <c r="H15" i="2"/>
  <c r="I153" i="2"/>
  <c r="H153" i="2"/>
  <c r="I152" i="2"/>
  <c r="H152" i="2"/>
  <c r="I151" i="2"/>
  <c r="H151" i="2"/>
  <c r="I5" i="2"/>
  <c r="H5" i="2"/>
  <c r="I150" i="2"/>
  <c r="H150" i="2"/>
  <c r="I30" i="2"/>
  <c r="H30" i="2"/>
  <c r="I149" i="2"/>
  <c r="H149" i="2"/>
  <c r="I148" i="2"/>
  <c r="H148" i="2"/>
  <c r="I34" i="2"/>
  <c r="H34" i="2"/>
  <c r="I147" i="2"/>
  <c r="H147" i="2"/>
  <c r="I42" i="2"/>
  <c r="H42" i="2"/>
  <c r="I18" i="2"/>
  <c r="H18" i="2"/>
  <c r="I146" i="2"/>
  <c r="H146" i="2"/>
  <c r="I24" i="2"/>
  <c r="H24" i="2"/>
  <c r="I29" i="2"/>
  <c r="H29" i="2"/>
  <c r="I19" i="2"/>
  <c r="H19" i="2"/>
  <c r="I145" i="2"/>
  <c r="H145" i="2"/>
  <c r="I144" i="2"/>
  <c r="H144" i="2"/>
  <c r="I143" i="2"/>
  <c r="H143" i="2"/>
  <c r="I142" i="2"/>
  <c r="H142" i="2"/>
  <c r="I46" i="2"/>
  <c r="H46" i="2"/>
  <c r="I141" i="2"/>
  <c r="H141" i="2"/>
  <c r="I140" i="2"/>
  <c r="H140" i="2"/>
  <c r="I139" i="2"/>
  <c r="H139" i="2"/>
  <c r="I138" i="2"/>
  <c r="H138" i="2"/>
  <c r="I137" i="2"/>
  <c r="H137" i="2"/>
  <c r="I136" i="2"/>
  <c r="H136" i="2"/>
  <c r="I135" i="2"/>
  <c r="H135" i="2"/>
  <c r="I134" i="2"/>
  <c r="H134" i="2"/>
  <c r="I11" i="2"/>
  <c r="H11" i="2"/>
  <c r="I133" i="2"/>
  <c r="H133" i="2"/>
  <c r="I43" i="2"/>
  <c r="H43" i="2"/>
  <c r="I132" i="2"/>
  <c r="H132" i="2"/>
  <c r="I131" i="2"/>
  <c r="H131" i="2"/>
  <c r="I25" i="2"/>
  <c r="H25" i="2"/>
  <c r="I130" i="2"/>
  <c r="H130" i="2"/>
  <c r="I129" i="2"/>
  <c r="H129" i="2"/>
  <c r="I128" i="2"/>
  <c r="H128" i="2"/>
  <c r="I127" i="2"/>
  <c r="H127" i="2"/>
  <c r="I7" i="2"/>
  <c r="H7" i="2"/>
  <c r="I126" i="2"/>
  <c r="H126" i="2"/>
  <c r="I125" i="2"/>
  <c r="H125" i="2"/>
  <c r="I124" i="2"/>
  <c r="H124" i="2"/>
  <c r="I123" i="2"/>
  <c r="H123" i="2"/>
  <c r="I122" i="2"/>
  <c r="H122" i="2"/>
  <c r="I121" i="2"/>
  <c r="H121" i="2"/>
  <c r="I120" i="2"/>
  <c r="H120" i="2"/>
  <c r="I119" i="2"/>
  <c r="H119" i="2"/>
  <c r="I27" i="2"/>
  <c r="H27" i="2"/>
  <c r="I118" i="2"/>
  <c r="H118" i="2"/>
  <c r="I117" i="2"/>
  <c r="H117" i="2"/>
  <c r="I116" i="2"/>
  <c r="H116" i="2"/>
  <c r="I32" i="2"/>
  <c r="H32" i="2"/>
  <c r="I115" i="2"/>
  <c r="H115" i="2"/>
  <c r="I114" i="2"/>
  <c r="H114" i="2"/>
  <c r="I41" i="2"/>
  <c r="H41" i="2"/>
  <c r="I113" i="2"/>
  <c r="H113" i="2"/>
  <c r="I112" i="2"/>
  <c r="H112" i="2"/>
  <c r="I111" i="2"/>
  <c r="H111" i="2"/>
  <c r="I110" i="2"/>
  <c r="H110" i="2"/>
  <c r="I44" i="2"/>
  <c r="H44" i="2"/>
  <c r="I22" i="2"/>
  <c r="H22" i="2"/>
  <c r="I8" i="2"/>
  <c r="H8" i="2"/>
  <c r="I6" i="2"/>
  <c r="H6" i="2"/>
  <c r="I109" i="2"/>
  <c r="H109" i="2"/>
  <c r="I108" i="2"/>
  <c r="H108" i="2"/>
  <c r="I45" i="2"/>
  <c r="H45" i="2"/>
  <c r="I36" i="2"/>
  <c r="H36" i="2"/>
  <c r="I33" i="2"/>
  <c r="H33" i="2"/>
  <c r="I2" i="2"/>
  <c r="H2" i="2"/>
  <c r="I17" i="2"/>
  <c r="H17" i="2"/>
  <c r="I107" i="2"/>
  <c r="H107" i="2"/>
  <c r="I106" i="2"/>
  <c r="H106" i="2"/>
  <c r="I105" i="2"/>
  <c r="H105" i="2"/>
  <c r="I104" i="2"/>
  <c r="H104" i="2"/>
  <c r="I23" i="2"/>
  <c r="I103" i="2"/>
  <c r="H103" i="2"/>
  <c r="I102" i="2"/>
  <c r="H102" i="2"/>
  <c r="I16" i="2"/>
  <c r="H16" i="2"/>
  <c r="I101" i="2"/>
  <c r="H101" i="2"/>
  <c r="I100" i="2"/>
  <c r="H100" i="2"/>
  <c r="I99" i="2"/>
  <c r="H99" i="2"/>
  <c r="I98" i="2"/>
  <c r="H98" i="2"/>
  <c r="I97" i="2"/>
  <c r="H97" i="2"/>
  <c r="I96" i="2"/>
  <c r="H96" i="2"/>
  <c r="I95" i="2"/>
  <c r="H95" i="2"/>
  <c r="I94" i="2"/>
  <c r="H94" i="2"/>
  <c r="I93" i="2"/>
  <c r="H93" i="2"/>
  <c r="I92" i="2"/>
  <c r="H92" i="2"/>
  <c r="I26" i="2"/>
  <c r="H26" i="2"/>
  <c r="I91" i="2"/>
  <c r="H91" i="2"/>
  <c r="I90" i="2"/>
  <c r="H90" i="2"/>
  <c r="I89" i="2"/>
  <c r="H89" i="2"/>
  <c r="I88" i="2"/>
  <c r="H88" i="2"/>
  <c r="I87" i="2"/>
  <c r="H87" i="2"/>
  <c r="I21" i="2"/>
  <c r="H21" i="2"/>
  <c r="I37" i="2"/>
  <c r="H37" i="2"/>
  <c r="I38" i="2"/>
  <c r="H38" i="2"/>
  <c r="I13" i="2"/>
  <c r="H13" i="2"/>
  <c r="I14" i="2"/>
  <c r="H14" i="2"/>
  <c r="I86" i="2"/>
  <c r="H86" i="2"/>
  <c r="I85" i="2"/>
  <c r="H85" i="2"/>
  <c r="I84" i="2"/>
  <c r="H84" i="2"/>
  <c r="I83" i="2"/>
  <c r="H83" i="2"/>
  <c r="I82" i="2"/>
  <c r="H82" i="2"/>
  <c r="I81" i="2"/>
  <c r="H81" i="2"/>
  <c r="I80" i="2"/>
  <c r="H80" i="2"/>
  <c r="I79" i="2"/>
  <c r="H79" i="2"/>
  <c r="I78" i="2"/>
  <c r="H78" i="2"/>
  <c r="I77" i="2"/>
  <c r="H77" i="2"/>
  <c r="I76" i="2"/>
  <c r="H76" i="2"/>
  <c r="I75" i="2"/>
  <c r="H75" i="2"/>
  <c r="I40" i="2"/>
  <c r="H40" i="2"/>
  <c r="I74" i="2"/>
  <c r="H74" i="2"/>
  <c r="I12" i="2"/>
  <c r="H12" i="2"/>
  <c r="I39" i="2"/>
  <c r="I73" i="2"/>
  <c r="H73" i="2"/>
  <c r="I20" i="2"/>
  <c r="H20" i="2"/>
  <c r="I72" i="2"/>
  <c r="H72" i="2"/>
  <c r="I71" i="2"/>
  <c r="H71" i="2"/>
  <c r="I70" i="2"/>
  <c r="H70" i="2"/>
  <c r="I69" i="2"/>
  <c r="H69" i="2"/>
  <c r="I68" i="2"/>
  <c r="H68" i="2"/>
  <c r="I67" i="2"/>
  <c r="H67" i="2"/>
  <c r="I66" i="2"/>
  <c r="H66" i="2"/>
  <c r="I65" i="2"/>
  <c r="H65" i="2"/>
  <c r="I64" i="2"/>
  <c r="H64" i="2"/>
  <c r="I63" i="2"/>
  <c r="H63" i="2"/>
  <c r="I62" i="2"/>
  <c r="H62" i="2"/>
  <c r="I61" i="2"/>
  <c r="H61" i="2"/>
  <c r="I60" i="2"/>
  <c r="H60" i="2"/>
  <c r="I59" i="2"/>
  <c r="H59" i="2"/>
  <c r="I58" i="2"/>
  <c r="H58" i="2"/>
  <c r="I57" i="2"/>
  <c r="H57" i="2"/>
  <c r="I56" i="2"/>
  <c r="H56" i="2"/>
  <c r="I55" i="2"/>
  <c r="H55" i="2"/>
  <c r="I54" i="2"/>
  <c r="H54" i="2"/>
  <c r="I53" i="2"/>
  <c r="H53" i="2"/>
  <c r="I52" i="2"/>
  <c r="H52" i="2"/>
  <c r="I51" i="2"/>
  <c r="H51" i="2"/>
  <c r="I50" i="2"/>
  <c r="H50" i="2"/>
  <c r="I49" i="2"/>
  <c r="H49" i="2"/>
  <c r="I48" i="2"/>
  <c r="H48" i="2"/>
  <c r="I47" i="2"/>
  <c r="H47" i="2"/>
  <c r="B23" i="1"/>
  <c r="B22" i="1"/>
  <c r="B21" i="1"/>
  <c r="B17" i="1"/>
  <c r="B16" i="1"/>
  <c r="B15" i="1"/>
  <c r="B14" i="1"/>
  <c r="B13" i="1"/>
  <c r="B4" i="1"/>
  <c r="B5" i="1" l="1"/>
  <c r="B9" i="1"/>
  <c r="B8" i="1"/>
  <c r="B6" i="1"/>
  <c r="B7" i="1"/>
  <c r="B24" i="1"/>
</calcChain>
</file>

<file path=xl/sharedStrings.xml><?xml version="1.0" encoding="utf-8"?>
<sst xmlns="http://schemas.openxmlformats.org/spreadsheetml/2006/main" count="1075" uniqueCount="493">
  <si>
    <t>📊 Französisch Grammatik Tracker - Dashboard</t>
  </si>
  <si>
    <t>Gesamtstatistik</t>
  </si>
  <si>
    <t>Gesamt Konzepte:</t>
  </si>
  <si>
    <t>Neue Konzepte:</t>
  </si>
  <si>
    <t>Ausbaufähig:</t>
  </si>
  <si>
    <t>In Arbeit:</t>
  </si>
  <si>
    <t>Gefestigt:</t>
  </si>
  <si>
    <t>Gemeistert:</t>
  </si>
  <si>
    <t>Verteilung nach Niveau</t>
  </si>
  <si>
    <t>A1:</t>
  </si>
  <si>
    <t>A2:</t>
  </si>
  <si>
    <t>B1:</t>
  </si>
  <si>
    <t>B2:</t>
  </si>
  <si>
    <t>C1:</t>
  </si>
  <si>
    <t>Lernfortschritt</t>
  </si>
  <si>
    <t>Durchschn. Score:</t>
  </si>
  <si>
    <t>Gesamte Wiederholungen:</t>
  </si>
  <si>
    <t>Konzepte mit Score:</t>
  </si>
  <si>
    <t>Fortschritt:</t>
  </si>
  <si>
    <t>ID</t>
  </si>
  <si>
    <t>Grammatik Konzept</t>
  </si>
  <si>
    <t>Niveau</t>
  </si>
  <si>
    <t>Letzte Wiederholung</t>
  </si>
  <si>
    <t>Score (0-10)</t>
  </si>
  <si>
    <t>Anzahl Wiederholungen</t>
  </si>
  <si>
    <t>Notizen</t>
  </si>
  <si>
    <t>Nächste Wiederholung</t>
  </si>
  <si>
    <t>Status</t>
  </si>
  <si>
    <t>Auswählen</t>
  </si>
  <si>
    <t>A1 – Aussagesatz (S–V–O)</t>
  </si>
  <si>
    <t>A1</t>
  </si>
  <si>
    <t>☐</t>
  </si>
  <si>
    <t>A1 – Verneinung: ne … pas (umgangssprachlich oft ohne ne)</t>
  </si>
  <si>
    <t>A1 – Fragen: Intonation / est-ce que / einfache Inversion</t>
  </si>
  <si>
    <t>A1 – C'est / ce sont vs. il/elle est (Grundgebrauch)</t>
  </si>
  <si>
    <t>A1 – Il y a (es gibt)</t>
  </si>
  <si>
    <t>A1 – Satzverknüpfer: et, mais, parce que (Grundlagen)</t>
  </si>
  <si>
    <t>A1 – Artikel: bestimmt (le, la, les)</t>
  </si>
  <si>
    <t>A1 – Artikel: unbestimmt (un, une, des)</t>
  </si>
  <si>
    <t>A1 – Partitivartikel (du, de la, des)</t>
  </si>
  <si>
    <t>A1 – de nach Verneinung und Mengen (pas de, beaucoup de)</t>
  </si>
  <si>
    <t>A1 – Nomen: Genus &amp; Pluralbildung</t>
  </si>
  <si>
    <t>A1 – Adjektive: Grundkongruenz &amp; häufige Voranstellung (petit, grand, beau)</t>
  </si>
  <si>
    <t>A1 – Possessivbegleiter (mon/ma/mes; ton/ta/tes; son/sa/ses)</t>
  </si>
  <si>
    <t>A1 – Demonstrativbegleiter (ce/cet/cette/ces)</t>
  </si>
  <si>
    <t>A1 – Grundpräpositionen (à, de, en, dans, sur, sous, chez, avec, pour, sans)</t>
  </si>
  <si>
    <t>A1 – Verschmelzungen: à + le = au; de + le = du; Plural aux/des</t>
  </si>
  <si>
    <t>A1 – Länder-/Ortspräpositionen: en/au/aux; de/du/des; Städte mit à/de</t>
  </si>
  <si>
    <t>A1 – Subjektpronomen (je, tu, il/elle/on, nous, vous, ils/elles)</t>
  </si>
  <si>
    <t>A1 – Pronomen on (Bedeutung man/wir)</t>
  </si>
  <si>
    <t>A1 – Tonische Pronomen (moi, toi, lui/elle, nous, vous, eux/elles)</t>
  </si>
  <si>
    <t>A1 – Fragewörter (qui, que/qu', où, quand, comment, combien, pourquoi)</t>
  </si>
  <si>
    <t>A1 – Präsens: regelmäßige Verben (-er, -ir, -re)</t>
  </si>
  <si>
    <t>A1 – Präsens: häufige Unregelmäßige (être, avoir, aller, faire, venir, prendre, pouvoir)</t>
  </si>
  <si>
    <t>A1 – Pronominalverb s'appeler und Muster reflexiver Verben (Präsens)</t>
  </si>
  <si>
    <t>A1 – Futur proche (aller + Infinitiv)</t>
  </si>
  <si>
    <t>A1 – Imperativ (tu, nous, vous) – Grundformen</t>
  </si>
  <si>
    <t>A1 – Stellung einfacher Adverbien (souvent, toujours, déjà, très, beaucoup)</t>
  </si>
  <si>
    <t>A1 – Zeitangaben (heute, morgen, gestern; Wochentage)</t>
  </si>
  <si>
    <t>A1 – Zahlen 0–69 (Grundzahlen)</t>
  </si>
  <si>
    <t>A1 – Zahlen 70–99 (soixante-dix, quatre-vingts, quatre-vingt-dix)</t>
  </si>
  <si>
    <t>A1 – Zahlen ab 100 (cent, deux cents, mille; Grundgebrauch)</t>
  </si>
  <si>
    <t>A1 – Uhrzeit sagen: il est + Stunde/Minute; et quart / et demie / moins le quart</t>
  </si>
  <si>
    <t>A1 – Uhrzeit fragen: Quelle heure est-il ? / À quelle heure ?</t>
  </si>
  <si>
    <t>A1 – Tageszeiten: du matin / de l'après-midi / du soir</t>
  </si>
  <si>
    <t>A1 – Datum: le + Zahl + Monat; 1er; Wochentage mit Artikel (le lundi)</t>
  </si>
  <si>
    <t>A1 – Mengenangaben (un peu de, beaucoup de, trop de, assez de)</t>
  </si>
  <si>
    <t>A1 – Passé composé: Einstieg mit avoir (regelmäßige Verben)</t>
  </si>
  <si>
    <t>A2 – Erweiterte Verneinung (ne… jamais / plus / rien / personne / que)</t>
  </si>
  <si>
    <t>A2</t>
  </si>
  <si>
    <t>A2 – Inversion mit Nomen/Pronomen (Marie vient-elle ?)</t>
  </si>
  <si>
    <t>A2 – C'est vs. il/elle est bei Berufen/Nationalität</t>
  </si>
  <si>
    <t>A2 – Partitiv vs. unbestimmter Artikel (Vertiefung)</t>
  </si>
  <si>
    <t>A2 – Adjektivstellung: Sonderformen (beau/bel/belle; nouveau; vieux)</t>
  </si>
  <si>
    <t>A2 – Komparativ &amp; Superlativ (plus/moins/aussi… que)</t>
  </si>
  <si>
    <t>A2 – Adverbableitung auf -ment (lent → lentement)</t>
  </si>
  <si>
    <t>A2 – Objektpronomen COD (me/te/le/la/nous/vous/les)</t>
  </si>
  <si>
    <t>A2 – Objektpronomen COI (me/te/lui/nous/vous/leur)</t>
  </si>
  <si>
    <t>A2 – Pronomen y (Ersetzung à + Sache/Ort)</t>
  </si>
  <si>
    <t>A2 – Pronomen en (Ersetzung de + Sache/Mengen)</t>
  </si>
  <si>
    <t>A2 – Tonische Pronomen nach Präposition (avec moi, chez eux)</t>
  </si>
  <si>
    <t>A2 – Passé composé mit avoir (inkl. unregelmäßiger Partizipien)</t>
  </si>
  <si>
    <t>A2 – Passé composé mit être (Bewegungs-/reflexive Verben) + Angleichung</t>
  </si>
  <si>
    <t>A2 – Reflexive Verben: Präsens &amp; Passé composé</t>
  </si>
  <si>
    <t>A2 – Imparfait: Bildung (-ais, -ais, -ait, -ions, -iez, -aient)</t>
  </si>
  <si>
    <t>A2 – Imparfait: Gebrauch (Gewohnheiten, Beschreibungen, Hintergrund)</t>
  </si>
  <si>
    <t>A2 – Kontrast Passé composé vs. Imparfait</t>
  </si>
  <si>
    <t>A2 – Futur simple: Grundstämme/Häufige Unregelmäßige</t>
  </si>
  <si>
    <t>A2 – Imperativ mit Pronomen (Donne-le-moi / Ne me le donne pas)</t>
  </si>
  <si>
    <t>A2 – Modalverben pouvoir/devoir/vouloir</t>
  </si>
  <si>
    <t>A2 – Relativpronomen: qui / que / où</t>
  </si>
  <si>
    <t>A2 – Frageadjektiv quel/le/s und lequel-Formen</t>
  </si>
  <si>
    <t>A2 – Präpositionen Orte/Länder (en/au/aux; à/de/du/des)</t>
  </si>
  <si>
    <t>A2 – Zeitpräpositionen: depuis / pendant / il y a / dans</t>
  </si>
  <si>
    <t>A2 – Verben + Präpositionen (penser à, parler de)</t>
  </si>
  <si>
    <t>A2 – Unpersönliche Formen: il faut / on doit + Infinitiv</t>
  </si>
  <si>
    <t>A2 – Indirekte Rede im Präsens (que / si)</t>
  </si>
  <si>
    <t>A2 – Mengenangaben präzise (un kilo de, une bouteille de)</t>
  </si>
  <si>
    <t>A2 – Zahlen im Kontext: Preise/Mengen mit de</t>
  </si>
  <si>
    <t>A2 – Zeitangaben im Detail: von … bis … (de … à …)</t>
  </si>
  <si>
    <t>A2 – Datumsangaben im Kontext: seit/bis/am</t>
  </si>
  <si>
    <t>A2 – Vergleich: bon/bonne → meilleur(e); bien → mieux</t>
  </si>
  <si>
    <t>A2 – Partizipangleichung bei vorangestelltem COD</t>
  </si>
  <si>
    <t>A2 – Conditionnel présent (Höflichkeit: je voudrais)</t>
  </si>
  <si>
    <t>A2 – ce qui / ce que (unbestimmte Relativpronomen)</t>
  </si>
  <si>
    <t>B1 – Zeitenüberblick &amp; Tempusgebrauch</t>
  </si>
  <si>
    <t>B1</t>
  </si>
  <si>
    <t>B1 – Plus-que-parfait: Bildung &amp; Gebrauch</t>
  </si>
  <si>
    <t>B1 – Futur antérieur: Bildung &amp; Gebrauch</t>
  </si>
  <si>
    <t>B1 – Passé récent: venir de + Infinitiv</t>
  </si>
  <si>
    <t>B1 – Progressiv: être en train de + Infinitiv</t>
  </si>
  <si>
    <t>B1 – Conditionnel présent: Bildung, Werte</t>
  </si>
  <si>
    <t>B1 – Conditionnel passé: irreale Vergangenheit</t>
  </si>
  <si>
    <t>B1 – Si-Sätze Typ 1: si + présent → futur</t>
  </si>
  <si>
    <t>B1 – Si-Sätze Typ 2: si + imparfait → conditionnel</t>
  </si>
  <si>
    <t>B1 – Si-Sätze Typ 3: si + plus-que-parfait → conditionnel passé</t>
  </si>
  <si>
    <t>B1 – Subjonctif présent: Bildung &amp; Auslöser</t>
  </si>
  <si>
    <t>B1 – Subjonctif passé: Überblick</t>
  </si>
  <si>
    <t>B1 – Relativpronomen: dont</t>
  </si>
  <si>
    <t>B1 – Relativpronomen mit Präposition: prép. + qui/lequel</t>
  </si>
  <si>
    <t>B1 – Relativadverbien: où, quand, comment</t>
  </si>
  <si>
    <t>B1 – Unbestimmte Relativa: ce qui / ce que / ce dont</t>
  </si>
  <si>
    <t>B1 – Indirekte Rede: Zeitenfolge nach Vergangenheit</t>
  </si>
  <si>
    <t>B1 – Indirekte Fragen</t>
  </si>
  <si>
    <t>B1 – Negation erweitert: ne… ni… ni; ne… aucun(e)</t>
  </si>
  <si>
    <t>B1 – Restriktiv: ne… que</t>
  </si>
  <si>
    <t>B1 – Negation mit Infinitiv: ne pas + Infinitiv</t>
  </si>
  <si>
    <t>B1 – Pronomenfolge (Doppelobjekte)</t>
  </si>
  <si>
    <t>B1 – Kombination y + en / le + y</t>
  </si>
  <si>
    <t>B1 – Pronomenstellung bei Infinitiv-/Modalverbgruppen</t>
  </si>
  <si>
    <t>B1 – Imperativ + Pronomen</t>
  </si>
  <si>
    <t>B1 – Passiv: être + participe passé</t>
  </si>
  <si>
    <t>B1 – Se faire + Infinitiv (Causativ/Passiv-Ersatz)</t>
  </si>
  <si>
    <t>B1 – Causatif faire + Infinitiv</t>
  </si>
  <si>
    <t>B1 – Partizip Perfekt: Angleichung mit avoir</t>
  </si>
  <si>
    <t>B1 – Partizip Präsens &amp; Gérondif</t>
  </si>
  <si>
    <t>B1 – Adjektive: Stellung mit Bedeutungswechsel</t>
  </si>
  <si>
    <t>B1 – Adjektive der Farbe: Unveränderlichkeit</t>
  </si>
  <si>
    <t>B1 – tout/toute/tous/toutes: Formen &amp; Gebrauch</t>
  </si>
  <si>
    <t>B1 – Adjektiv- vs. Adverbvergleich: meilleur(e) vs. mieux</t>
  </si>
  <si>
    <t>B1 – Adverb-Komparativ/-Superlativ</t>
  </si>
  <si>
    <t>B1 – Determinierer &amp; Indefinita: chaque/chacun(e)</t>
  </si>
  <si>
    <t>B1 – Quantoren präzise</t>
  </si>
  <si>
    <t>B1 – Zahlen: Ordinalzahlen, Brüche, Dezimalzahlen</t>
  </si>
  <si>
    <t>B1 – Zeitangaben erweitert: dès que/aussitôt que</t>
  </si>
  <si>
    <t>B1 – Zukunft nach Temporalsätzen: quand/lorsque + futur</t>
  </si>
  <si>
    <t>B1 – Datums- &amp; Jahresangaben präzise</t>
  </si>
  <si>
    <t>B1 – Uhrzeit &amp; Dauer im Kontext</t>
  </si>
  <si>
    <t>B1 – Präpositionen + Infinitiv: pour, sans, avant de</t>
  </si>
  <si>
    <t>B1 – Verben mit à/de + Infinitiv</t>
  </si>
  <si>
    <t>B1 – Präpositionen der Ursache/Ziels</t>
  </si>
  <si>
    <t>B1 – Orts-/Richtungspräpositionen im Detail</t>
  </si>
  <si>
    <t>B1 – Satzverknüpfung: Ursache, Folge, Ziel</t>
  </si>
  <si>
    <t>B1 – Opposition/Einräumung: mais, bien que</t>
  </si>
  <si>
    <t>B1 – Strukturwörter für Aufzählung/Beispiel</t>
  </si>
  <si>
    <t>B1 – Stil &amp; Register: on vs. nous</t>
  </si>
  <si>
    <t>B1 – Erzähltechniken: Hintergrund vs. Vordergrund</t>
  </si>
  <si>
    <t>B1 – Passé simple erkennen (Rezeption)</t>
  </si>
  <si>
    <t>B1 – Rechtschreib-/Schreibnormen</t>
  </si>
  <si>
    <t>B1 – Höfliche Bitten/Empfehlungen</t>
  </si>
  <si>
    <t>B2 – Tempusübersicht &amp; Erzählzeit</t>
  </si>
  <si>
    <t>B2</t>
  </si>
  <si>
    <t>B2 – Plus-que-parfait &amp; Futur antérieur: Nuancen</t>
  </si>
  <si>
    <t>B2 – Passé récent / être en train de (Stilwert)</t>
  </si>
  <si>
    <t>B2 – Conditionnel présent: Hypothese, Vermutung</t>
  </si>
  <si>
    <t>B2 – Conditionnel passé: Bedauern, irreale Vergangenheit</t>
  </si>
  <si>
    <t>B2 – Si-Sätze Typ 3 &amp; gemischte Perioden</t>
  </si>
  <si>
    <t>B2 – Subjonctif présent: Auslöser differenziert</t>
  </si>
  <si>
    <t>B2 – Subjonctif passé: Bildung &amp; Gebrauch</t>
  </si>
  <si>
    <t>B2 – Subjonctif vs. Indicatif nach Konnektoren</t>
  </si>
  <si>
    <t>B2 – Après que + Indicatif; avant que + Subjonctif</t>
  </si>
  <si>
    <t>B2 – Ne explétif</t>
  </si>
  <si>
    <t>B2 – Indirekte Rede: Zeitenfolge nach Vergangenheit</t>
  </si>
  <si>
    <t>B2 – Indirekte Fragen: Inversions-/Wortstellungsregeln</t>
  </si>
  <si>
    <t>B2 – Relativpronomen: dont, ce dont</t>
  </si>
  <si>
    <t>B2 – Relativpronomen mit Präposition: lequel/auquel/duquel</t>
  </si>
  <si>
    <t>B2 – Relativadverbien &amp; komplexe Bezüge</t>
  </si>
  <si>
    <t>B2 – Eingeschobene Relativsätze &amp; Kommasetzung</t>
  </si>
  <si>
    <t>B2 – Pronomenreihenfolge (volle Klitik-Sequenz)</t>
  </si>
  <si>
    <t>B2 – Doppelpronomen im Imperativ</t>
  </si>
  <si>
    <t>B2 – en &amp; y: Mengen-/Ortsersatz mit Zahlbezug</t>
  </si>
  <si>
    <t>B2 – Demonstrativpronomen: celui/celle/ceux/celles</t>
  </si>
  <si>
    <t>B2 – Dislozierung &amp; Cleft-Sätze</t>
  </si>
  <si>
    <t>B2 – Passiv: être + participe passé (Zeitformen)</t>
  </si>
  <si>
    <t>B2 – Pronominal-Passiv &amp; Allgemeinpassiv</t>
  </si>
  <si>
    <t>B2 – Causatif: faire/laisser + Infinitiv</t>
  </si>
  <si>
    <t>B2 – Partizip Perfekt: schwierige Angleichungen</t>
  </si>
  <si>
    <t>B2 – Pronominale Verben im Passé composé</t>
  </si>
  <si>
    <t>B2 – Adjektivstellung &amp; Bedeutungswechsel</t>
  </si>
  <si>
    <t>B2 – Adjektive der Farbe &amp; zusammengesetzte Adjektive</t>
  </si>
  <si>
    <t>B2 – Partizip Präsens vs. Adjektif verbal</t>
  </si>
  <si>
    <t>B2 – Gérondif: Gleichzeitigkeit, Bedingung</t>
  </si>
  <si>
    <t>B2 – Vergleich &amp; Grad: plus/moins/autant</t>
  </si>
  <si>
    <t>B2 – mieux vs. meilleur(e)</t>
  </si>
  <si>
    <t>B2 – Restriktiv: ne… que (Stellungsvarianten)</t>
  </si>
  <si>
    <t>B2 – Erweiterte Negation: ne… ni… ni</t>
  </si>
  <si>
    <t>B2 – Determinierer &amp; Indefinita: chaque/tel(le)</t>
  </si>
  <si>
    <t>B2 – Quantoren &amp; Mengen: la plupart (de)</t>
  </si>
  <si>
    <t>B2 – Zahlen &amp; Maße: große Zahlen, Dezimalzahlen</t>
  </si>
  <si>
    <t>B2 – Zeitangaben &amp; Fristen: d'ici (à)</t>
  </si>
  <si>
    <t>B2 – Datums-/Uhrzeitangaben in formellen Texten</t>
  </si>
  <si>
    <t>B2 – Präpositionen fein: en vs. dans</t>
  </si>
  <si>
    <t>B2 – Richtungs-/Lagepräpositionen erweitert</t>
  </si>
  <si>
    <t>B2 – Präposition + Infinitiv: Nuancen</t>
  </si>
  <si>
    <t>B2 – Verben mit à/de + Infinitiv (Bedeutungswechsel)</t>
  </si>
  <si>
    <t>B2 – Konnektoren: Ursache, Folge, Ziel</t>
  </si>
  <si>
    <t>B2 – Opposition/Einräumung: cependant, toutefois</t>
  </si>
  <si>
    <t>B2 – Bedingung &amp; Einschränkung</t>
  </si>
  <si>
    <t>B2 – Struktur für Argumentation</t>
  </si>
  <si>
    <t>B2 – Wortstellung &amp; Stil</t>
  </si>
  <si>
    <t>B2 – Lexikalische Modalität</t>
  </si>
  <si>
    <t>B2 – Nominalisierung &amp; Verdichtung</t>
  </si>
  <si>
    <t>B2 – Rechtschreibung/Typografie</t>
  </si>
  <si>
    <t>B2 – Fehlerquellen B2</t>
  </si>
  <si>
    <t>B2 – Rezeption Literatur/Pressesprache</t>
  </si>
  <si>
    <t>C1 – Tempuskoordination im Erzählen</t>
  </si>
  <si>
    <t>C1</t>
  </si>
  <si>
    <t>C1 – Futur dans le passé</t>
  </si>
  <si>
    <t>C1 – Plus-que-parfait &amp; Futur antérieur</t>
  </si>
  <si>
    <t>C1 – Conditionnel présent: Nuancen</t>
  </si>
  <si>
    <t>C1 – Conditionnel passé: Vorwürfe/Bedauern</t>
  </si>
  <si>
    <t>C1 – Si-Sätze: gemischte Perioden</t>
  </si>
  <si>
    <t>C1 – comme si + imparfait / plus-que-parfait</t>
  </si>
  <si>
    <t>C1 – Passé récent / être en train de: Stilwert</t>
  </si>
  <si>
    <t>C1 – Subjonctif présent: feinere Auslöser</t>
  </si>
  <si>
    <t>C1 – Subjonctif passé: Vorzeitigkeit</t>
  </si>
  <si>
    <t>C1 – Subjonctif nach Superlativen</t>
  </si>
  <si>
    <t>C1 – Subjonctif vs. Indicatif nach Meinungsverben</t>
  </si>
  <si>
    <t>C1 – après que + Indicatif / avant que + Subjonctif</t>
  </si>
  <si>
    <t>C1 – ne explétif (Erkennung)</t>
  </si>
  <si>
    <t>C1 – Subjonctif imparfait (Rezeption)</t>
  </si>
  <si>
    <t>C1 – Indirekte Rede: vollständige Zeitenfolge</t>
  </si>
  <si>
    <t>C1 – Indirekte Fragen komplex</t>
  </si>
  <si>
    <t>C1 – Style indirect libre</t>
  </si>
  <si>
    <t>C1 – Relativpronomen komplex</t>
  </si>
  <si>
    <t>C1 – Eingeschobene Relativsätze</t>
  </si>
  <si>
    <t>C1 – Relativadverbien erweitert</t>
  </si>
  <si>
    <t>C1 – Pronomenreihenfolge vollständig</t>
  </si>
  <si>
    <t>C1 – Doppelpronomen im Imperativ</t>
  </si>
  <si>
    <t>C1 – Neutrales le und Subjekts-ce</t>
  </si>
  <si>
    <t>C1 – y &amp; en: Mengenbezug, Zählwörter</t>
  </si>
  <si>
    <t>C1 – Passiv: alle Zeiten/Aspekte</t>
  </si>
  <si>
    <t>C1 – Pronominal-Passiv &amp; Mittelstimme</t>
  </si>
  <si>
    <t>C1 – Causatif faire/laisser + Infinitiv</t>
  </si>
  <si>
    <t>C1 – se voir / se faire / se laisser + Infinitiv</t>
  </si>
  <si>
    <t>C1 – Partizip Perfekt: schwierige Angleichungen</t>
  </si>
  <si>
    <t>C1 – Participe présent vs. adjectif verbal</t>
  </si>
  <si>
    <t>C1 – Gérondif: Einschränkung, Art &amp; Weise</t>
  </si>
  <si>
    <t>C1 – Infinitif passé / Infinitif présent</t>
  </si>
  <si>
    <t>C1 – Adjektivstellung &amp; Bedeutungswechsel vertieft</t>
  </si>
  <si>
    <t>C1 – tout/toute/tous/toutes: Übereinstimmung</t>
  </si>
  <si>
    <t>C1 – Vergleichskonstruktionen: d'autant (plus)… que</t>
  </si>
  <si>
    <t>C1 – besser/mieux; meilleur/le meilleur</t>
  </si>
  <si>
    <t>C1 – Determinierer &amp; Indefinita: nul, quiconque</t>
  </si>
  <si>
    <t>C1 – Korrelationen: les uns… les autres</t>
  </si>
  <si>
    <t>C1 – Quantoren &amp; Mengen: Kongruenzregeln</t>
  </si>
  <si>
    <t>C1 – plus d'un + Verb (Singular/Plural)</t>
  </si>
  <si>
    <t>C1 – Negation erweitert: ne… point; ne… guère</t>
  </si>
  <si>
    <t>C1 – Restriktiv: ne… que (Informationsstruktur)</t>
  </si>
  <si>
    <t>C1 – Ne-Wegfall mündlich vs. Schriftsprache</t>
  </si>
  <si>
    <t>C1 – Präpositionen fein: quant à, hormis, excepté</t>
  </si>
  <si>
    <t>C1 – Präposition + Infinitiv: Nuancen</t>
  </si>
  <si>
    <t>C1 – Verben mit à/de + Infinitiv: Bedeutungswechsel</t>
  </si>
  <si>
    <t>C1 – Richtungs-/Lagepräpositionen erweitert</t>
  </si>
  <si>
    <t>C1 – Konnektoren für Argumentation</t>
  </si>
  <si>
    <t>C1 – Ursache/Folge/Ziel differenziert</t>
  </si>
  <si>
    <t>C1 – Satzrhythmus &amp; Periodenbau</t>
  </si>
  <si>
    <t>C1 – Informationsstruktur: Dislozierung</t>
  </si>
  <si>
    <t>C1 – Inversion stylistique; Ellipsen</t>
  </si>
  <si>
    <t>C1 – Präsentativa: il y a / voilà</t>
  </si>
  <si>
    <t>C1 – Zahlen &amp; Maße im formellen Kontext</t>
  </si>
  <si>
    <t>C1 – Zeit- &amp; Fristangaben gehoben</t>
  </si>
  <si>
    <t>C1 – Datums-/Uhrzeitnormen in offiziellen Texten</t>
  </si>
  <si>
    <t>C1 – Orthotypografie &amp; Zeichensetzung</t>
  </si>
  <si>
    <t>C1 – Groß-/Kleinschreibung, Bindestriche</t>
  </si>
  <si>
    <t>C1 – Häufige Kongruenzfallen</t>
  </si>
  <si>
    <t>C1 – Register &amp; Stil: courant vs. soutenu</t>
  </si>
  <si>
    <t>C1 – Modalität paraphrastisch</t>
  </si>
  <si>
    <t>C1 – Formelhafte Strukturen</t>
  </si>
  <si>
    <t>C1 – Rezeption literarischer Zeiten</t>
  </si>
  <si>
    <t>C1 – Fehlerquellen C1</t>
  </si>
  <si>
    <t>📖 Anleitung - Französisch Grammatik Tracker</t>
  </si>
  <si>
    <t>🎯 Grundlegende Nutzung</t>
  </si>
  <si>
    <t>1. Grammatik Tracker Tab</t>
  </si>
  <si>
    <t>Hier findest du alle 246 französischen Grammatikkonzepte von A1 bis C1</t>
  </si>
  <si>
    <t>2. Nach einer Lernsession</t>
  </si>
  <si>
    <t>Trage folgende Daten ein:</t>
  </si>
  <si>
    <t xml:space="preserve">   - Letzte Wiederholung</t>
  </si>
  <si>
    <t>Datum im Format TT.MM.JJJJ (z.B. 11.11.2025)</t>
  </si>
  <si>
    <t xml:space="preserve">   - Score (0-10)</t>
  </si>
  <si>
    <t>Deine Selbsteinschätzung: 0-2=Anfänger, 3-4=Ausbaufähig, 5-6=Mittelmäßig, 7-8=Gut, 9-10=Exzellent</t>
  </si>
  <si>
    <t xml:space="preserve">   - Notizen</t>
  </si>
  <si>
    <t>Optionale Anmerkungen zu deinem Lernprozess</t>
  </si>
  <si>
    <t>3. Automatische Berechnungen</t>
  </si>
  <si>
    <t xml:space="preserve">   - Anzahl Wiederholungen</t>
  </si>
  <si>
    <t>Wird automatisch erhöht wenn du einen Score einträgst</t>
  </si>
  <si>
    <t xml:space="preserve">   - Nächste Wiederholung</t>
  </si>
  <si>
    <t>Wird basierend auf deinem Score berechnet:</t>
  </si>
  <si>
    <t xml:space="preserve">     • Score 9-10</t>
  </si>
  <si>
    <t>→ in 30 Tagen</t>
  </si>
  <si>
    <t xml:space="preserve">     • Score 7-8</t>
  </si>
  <si>
    <t>→ in 14 Tagen</t>
  </si>
  <si>
    <t xml:space="preserve">     • Score 5-6</t>
  </si>
  <si>
    <t>→ in 7 Tagen</t>
  </si>
  <si>
    <t xml:space="preserve">     • Score 3-4</t>
  </si>
  <si>
    <t>→ in 3 Tagen</t>
  </si>
  <si>
    <t xml:space="preserve">     • Score 0-2</t>
  </si>
  <si>
    <t>→ in 1 Tag</t>
  </si>
  <si>
    <t xml:space="preserve">   - Status</t>
  </si>
  <si>
    <t>Wird automatisch berechnet:</t>
  </si>
  <si>
    <t xml:space="preserve">     • Neu</t>
  </si>
  <si>
    <t>Noch nicht geübt</t>
  </si>
  <si>
    <t xml:space="preserve">     • Ausbaufähig</t>
  </si>
  <si>
    <t>Score unter 5</t>
  </si>
  <si>
    <t xml:space="preserve">     • In Arbeit</t>
  </si>
  <si>
    <t>Score 5-8</t>
  </si>
  <si>
    <t xml:space="preserve">     • Gefestigt</t>
  </si>
  <si>
    <t>Score 9-10</t>
  </si>
  <si>
    <t xml:space="preserve">     • Gemeistert</t>
  </si>
  <si>
    <t>Score 9-10 + mindestens 3 Wiederholungen</t>
  </si>
  <si>
    <t>🔍 Filtern &amp; Sortieren</t>
  </si>
  <si>
    <t>• Filter aktivieren</t>
  </si>
  <si>
    <t>Klicke auf die Dropdown-Pfeile in der Header-Zeile</t>
  </si>
  <si>
    <t>• Nach Niveau filtern</t>
  </si>
  <si>
    <t>Wähle A1, A2, B1, B2 oder C1</t>
  </si>
  <si>
    <t>• Nach Status filtern</t>
  </si>
  <si>
    <t>Wähle Neu, Ausbaufähig, In Arbeit, Gefestigt oder Gemeistert</t>
  </si>
  <si>
    <t>• Sortieren</t>
  </si>
  <si>
    <t>Klicke auf Spaltenüberschriften zum Sortieren</t>
  </si>
  <si>
    <t>✅ Konzepte auswählen</t>
  </si>
  <si>
    <t>• Auswahl-Spalte</t>
  </si>
  <si>
    <t>Markiere Konzepte mit einem "x" in Spalte J</t>
  </si>
  <si>
    <t>• Für AI-Session</t>
  </si>
  <si>
    <t>Filtere nach ausgewählten Konzepten und kopiere die Liste</t>
  </si>
  <si>
    <t>📊 Dashboard</t>
  </si>
  <si>
    <t>• Statistik-Übersicht</t>
  </si>
  <si>
    <t>Zeigt deinen Gesamtfortschritt</t>
  </si>
  <si>
    <t>• Niveau-Verteilung</t>
  </si>
  <si>
    <t>Anzahl Konzepte pro Niveau</t>
  </si>
  <si>
    <t>• Fortschrittsanzeige</t>
  </si>
  <si>
    <t>Wie viele Konzepte du bereits bearbeitet hast</t>
  </si>
  <si>
    <t>💡 Tipps</t>
  </si>
  <si>
    <t>• Regelmäßig üben</t>
  </si>
  <si>
    <t>Arbeite täglich an 3-5 Konzepten</t>
  </si>
  <si>
    <t>• Priorisierung</t>
  </si>
  <si>
    <t>Fokussiere auf fällige Wiederholungen (Nächste Wiederholung in der Vergangenheit)</t>
  </si>
  <si>
    <t>• Notizen nutzen</t>
  </si>
  <si>
    <t>Halte Schwierigkeiten oder Beispiele fest</t>
  </si>
  <si>
    <t>• Ehrlich bewerten</t>
  </si>
  <si>
    <t>Score nur vergeben wenn du das Konzept wirklich verstehst</t>
  </si>
  <si>
    <t>📥 Datensicherung</t>
  </si>
  <si>
    <t>• Regelmäßig speichern</t>
  </si>
  <si>
    <t>Drücke Strg+S (Windows) oder Cmd+S (Mac)</t>
  </si>
  <si>
    <t>• Backup erstellen</t>
  </si>
  <si>
    <t>Kopiere die Datei regelmäßig an einen sicheren Ort</t>
  </si>
  <si>
    <t>Initialer Lernsession-Prompt</t>
  </si>
  <si>
    <t># Französisch Grammatik Lernsession
## Zu übende Konzepte:
[HIER DIE 2-5 AUSGEWÄHLTEN KONZEPTE EINFÜGEN]
## Deine Rolle als Lehrer:
Du bist ein erfahrener Französischlehrer, der eine intensive, aber abwechslungsreiche Lernsession gestaltet. Dein Ziel ist es, dass ich die oben genannten Grammatikkonzepte durch aktive Anwendung verinnerlichte.
## Struktur der Lernsession:
### Phase 1: Kurze Wiederholung (5 Min)
- Erkläre jedes Konzept prägnant mit 1-2 Beispielsätzen
- Hebe die häufigsten Fehlerquellen hervor
- Frage mich, ob ich Verständnisfragen habe
### Phase 2: Gezielte Übungen (25-30 Min)
Führe mich durch verschiedene Übungstypen. Wechsle die Formate ab:
1. **Lückentexte**: Sätze mit Lücken, die ich ergänzen muss
2. **Übersetzungsübungen**: Deutsch → Französisch (realistische Alltagssätze)
3. **Fehlerkorrektur**: Zeige mir fehlerhafte Sätze, die ich korrigieren muss
4. **Satzbildung**: Gib mir Vorgaben (Subjekt, Verb, Objekt), aus denen ich Sätze bilde
5. **Kontextaufgaben**: Kurze Dialoge oder Situationen, in denen ich die Konzepte anwenden muss
6. **Spontane Anwendung**: Stelle mir Fragen, die ich spontan mit den Konzepten beantworten muss
**Wichtig**:
- Präsentiere maximal 3-5 Aufgaben gleichzeitig
- Warte auf meine Antworten, bevor du weitermachst
- Gib sofort Feedback: ✓ richtig oder korrigiere mit Erklärung
- Steigere den Schwierigkeitsgrad graduell
- Kombiniere mehrere Konzepte in fortgeschrittenen Übungen
### Phase 3: Komplexe Anwendung (10 Min)
- Stelle mir eine realistische Aufgabe (z.B. "Beschreibe deinen gestrigen Tag" oder "Erkläre, was du nächstes Wochenende machen wirst")
- Die Aufgabe muss alle geübten Konzepte integrieren
- Korrigiere meinen Text und erkläre Fehler
### Phase 4: Reflexion
- Fasse zusammen, was gut lief und wo noch Unsicherheiten bestehen
- Gib mir 2-3 konkrete Tipps, worauf ich bei diesen Konzepten besonders achten sollte
## Dein Verhalten:
- Sei ermutigend, aber ehrlich bei Fehlern
- Erkläre Fehler immer mit der zugrundeliegenden Regel
- Verwende keine Fachbegriffe ohne Erklärung
- Frage nach, wenn ich zögere: "Bist du dir sicher?"
- Passe den Schwierigkeitsgrad an meine Leistung an
Starte jetzt mit Phase 1!</t>
  </si>
  <si>
    <t># Lernsession Abschluss &amp; Dokumentation
Die Lernsession ist beendet. Erstelle jetzt eine strukturierte Auswertung für meine Excel-Datei.
## Für jedes geübte Grammatikkonzept, erstelle folgendes Format:
**[Grammatikkonzept-Name]**
- **Datum**: [Heutiges Datum im Format TT.MM.YYYY]
- **Score**: [0-10 nach den Kriterien unten]
- **Notizen**: [Präzise Beschreibung der Schwierigkeiten in 1-2 Sätzen]
- **Wiederholungsintervall**: [Empfehlung in Tagen: 1, 3, 7, 14, 30]
---
### Score-Kriterien (0-10):
**9-10 (Exzellent)**: 
- Alle Aufgaben richtig gelöst (&gt;95%)
- Spontane, fehlerfreie Anwendung
- Auch bei komplexen Kombinationen sicher
- Keine Erklärungen mehr nötig
**7-8 (Gut gefestigt)**: 
- Meiste Aufgaben richtig (80-95%)
- Kleine Flüchtigkeitsfehler möglich
- Bei Nachfrage kann ich Regel erklären
- In einfachen Kontexten sicher
**5-6 (Mittelmäßig)**: 
- Etwa die Hälfte richtig (50-80%)
- Konzept verstanden, aber noch unsichere Anwendung
- Brauche noch Bedenkzeit
- Mehrere gleichartige Fehler
**3-4 (Ausbaufähig)**: 
- Weniger als die Hälfte richtig (&lt;50%)
- Grundverständnis vorhanden, aber viele Fehler
- Verwechslungen mit ähnlichen Konzepten
- Brauche oft Hilfestellungen
**1-2 (Anfänger)**: 
- Kaum richtige Anwendungen (&lt;25%)
- Regel noch nicht verstanden
- Systematische Fehler
- Konzept ist neu oder wurde vergessen
**0 (Nicht geübt)**: 
- Konzept wurde in dieser Session nicht behandelt
---
**Notizen-Richtlinien**: 
Beschreibe konkret:
- Welche Teilaspekte des Konzepts waren problematisch? (z.B. "Verwechslung zwischen COD und COI")
- Welche spezifischen Fehler traten wiederholt auf? (z.B. "Vergesse Angleichung bei Passé composé mit être")
- Gibt es Interferenzen mit anderen Konzepten? (z.B. "Verwechselt qui/que in Relativsätzen")
Gib die Auswertung jetzt in diesem Format aus, sodass ich die Daten direkt in meine Excel-Datei übertragen kann.</t>
  </si>
  <si>
    <t>abschluss</t>
  </si>
  <si>
    <r>
      <t>Hyphenierung bei zusammengesetzten Zahlen (z. B. </t>
    </r>
    <r>
      <rPr>
        <i/>
        <sz val="11"/>
        <color rgb="FF000000"/>
        <rFont val="Calibri"/>
        <family val="2"/>
        <scheme val="minor"/>
      </rPr>
      <t>trente-quatre</t>
    </r>
    <r>
      <rPr>
        <sz val="14"/>
        <color rgb="FF000000"/>
        <rFont val="-webkit-standard"/>
      </rPr>
      <t>, </t>
    </r>
    <r>
      <rPr>
        <i/>
        <sz val="11"/>
        <color rgb="FF000000"/>
        <rFont val="Calibri"/>
        <family val="2"/>
        <scheme val="minor"/>
      </rPr>
      <t>cinquante-huit</t>
    </r>
    <r>
      <rPr>
        <sz val="14"/>
        <color rgb="FF000000"/>
        <rFont val="-webkit-standard"/>
      </rPr>
      <t>) war teils fehlerhaft; bei spontanen Antworten einmal Zahl gemischt und Satzrahmen (</t>
    </r>
    <r>
      <rPr>
        <i/>
        <sz val="11"/>
        <color rgb="FF000000"/>
        <rFont val="Calibri"/>
        <family val="2"/>
        <scheme val="minor"/>
      </rPr>
      <t>J’en ai…</t>
    </r>
    <r>
      <rPr>
        <sz val="14"/>
        <color rgb="FF000000"/>
        <rFont val="-webkit-standard"/>
      </rPr>
      <t>) vergessen.</t>
    </r>
  </si>
  <si>
    <r>
      <t>Grundregel sitzt; Vorzeitigkeit mit </t>
    </r>
    <r>
      <rPr>
        <b/>
        <sz val="11"/>
        <color rgb="FF000000"/>
        <rFont val="Calibri"/>
        <family val="2"/>
        <scheme val="minor"/>
      </rPr>
      <t>futur antérieur</t>
    </r>
    <r>
      <rPr>
        <sz val="14"/>
        <color rgb="FF000000"/>
        <rFont val="-webkit-standard"/>
      </rPr>
      <t> und Hilfsverb </t>
    </r>
    <r>
      <rPr>
        <b/>
        <sz val="11"/>
        <color rgb="FF000000"/>
        <rFont val="Calibri"/>
        <family val="2"/>
        <scheme val="minor"/>
      </rPr>
      <t>être</t>
    </r>
    <r>
      <rPr>
        <sz val="14"/>
        <color rgb="FF000000"/>
        <rFont val="-webkit-standard"/>
      </rPr>
      <t> (z. B. </t>
    </r>
    <r>
      <rPr>
        <i/>
        <sz val="11"/>
        <color rgb="FF000000"/>
        <rFont val="Calibri"/>
        <family val="2"/>
        <scheme val="minor"/>
      </rPr>
      <t>tu seras arrivé(e)</t>
    </r>
    <r>
      <rPr>
        <sz val="14"/>
        <color rgb="FF000000"/>
        <rFont val="-webkit-standard"/>
      </rPr>
      <t>) musste mehrfach korrigiert; Kleinigkeiten bei Elision (</t>
    </r>
    <r>
      <rPr>
        <i/>
        <sz val="11"/>
        <color rgb="FF000000"/>
        <rFont val="Calibri"/>
        <family val="2"/>
        <scheme val="minor"/>
      </rPr>
      <t>t’appellerons</t>
    </r>
    <r>
      <rPr>
        <sz val="14"/>
        <color rgb="FF000000"/>
        <rFont val="-webkit-standard"/>
      </rPr>
      <t>).</t>
    </r>
  </si>
  <si>
    <t>Session</t>
  </si>
  <si>
    <t>Feedback</t>
  </si>
  <si>
    <t>Stark: Du integrierst viele Zielstrukturen (Datum, depuis, si + imparfait → conditionnel, Futur/Futur antérieur) und nutzt mehrere Quantoren – super!
Noch unsicher: Feinheiten bei Quantoren (la plupart de/des), idiomatisches Französisch (ne… que, se joindre à), sowie Wortstellung/Orthografie (Akzente, Bindestriche).
3 konkrete Tipps
Quantoren-Formel merken:
beaucoup/peu/assez/trop + de + Nomen
la plupart des + allgemeines Nomen / de + Possessiv
aucun(e) … ne + Verb
Zukunft nach „quand/lorsque“:
Gleichzeitigkeit: Quand tu arriveras, on mangera.
Vorzeitigkeit: Quand tu auras fini, on ira.
„nur“ = ne… que: Sag dir innerlich „nur = ne… que“, z. B. Je n’ai que deux heures.</t>
  </si>
  <si>
    <t>Session 1</t>
  </si>
  <si>
    <r>
      <t>Richtige Bildung häufiger getroffen; kleine Stolpersteine bei </t>
    </r>
    <r>
      <rPr>
        <i/>
        <sz val="11"/>
        <color rgb="FF000000"/>
        <rFont val="Calibri"/>
        <family val="2"/>
        <scheme val="minor"/>
      </rPr>
      <t>demi/demie</t>
    </r>
    <r>
      <rPr>
        <sz val="14"/>
        <color rgb="FF000000"/>
        <rFont val="-webkit-standard"/>
      </rPr>
      <t> und idiomatischer Formulierung (besser „À… je…“ als „Il est…, quand…“). 15:45 korrekt als </t>
    </r>
    <r>
      <rPr>
        <b/>
        <sz val="11"/>
        <color rgb="FF000000"/>
        <rFont val="Calibri"/>
        <family val="2"/>
        <scheme val="minor"/>
      </rPr>
      <t>… moins le quart</t>
    </r>
    <r>
      <rPr>
        <sz val="14"/>
        <color rgb="FF000000"/>
        <rFont val="-webkit-standard"/>
      </rPr>
      <t> erkannt.</t>
    </r>
  </si>
  <si>
    <r>
      <t>Platzierung vor dem Verb und in Negation sitzt; sichere Unterscheidung </t>
    </r>
    <r>
      <rPr>
        <i/>
        <sz val="11"/>
        <color rgb="FF000000"/>
        <rFont val="Calibri"/>
        <family val="2"/>
        <scheme val="minor"/>
      </rPr>
      <t>y</t>
    </r>
    <r>
      <rPr>
        <sz val="14"/>
        <color rgb="FF000000"/>
        <rFont val="-webkit-standard"/>
      </rPr>
      <t> = „dorthin/darin“. Einzelne Flüchtigkeitsfehler bei Verbformen (z. B. </t>
    </r>
    <r>
      <rPr>
        <i/>
        <sz val="11"/>
        <color rgb="FF000000"/>
        <rFont val="Calibri"/>
        <family val="2"/>
        <scheme val="minor"/>
      </rPr>
      <t>j’y vais</t>
    </r>
    <r>
      <rPr>
        <sz val="14"/>
        <color rgb="FF000000"/>
        <rFont val="-webkit-standard"/>
      </rPr>
      <t> vs. </t>
    </r>
    <r>
      <rPr>
        <i/>
        <sz val="11"/>
        <color rgb="FF000000"/>
        <rFont val="Calibri"/>
        <family val="2"/>
        <scheme val="minor"/>
      </rPr>
      <t>vas</t>
    </r>
    <r>
      <rPr>
        <sz val="14"/>
        <color rgb="FF000000"/>
        <rFont val="-webkit-standard"/>
      </rPr>
      <t>).</t>
    </r>
  </si>
  <si>
    <r>
      <t>Gute Anwendung mit Mengenübernahme (</t>
    </r>
    <r>
      <rPr>
        <i/>
        <sz val="11"/>
        <color rgb="FF000000"/>
        <rFont val="Calibri"/>
        <family val="2"/>
        <scheme val="minor"/>
      </rPr>
      <t>j’en ai deux/quelques-unes</t>
    </r>
    <r>
      <rPr>
        <sz val="14"/>
        <color rgb="FF000000"/>
        <rFont val="-webkit-standard"/>
      </rPr>
      <t>); gelegentliche Unsicherheit bei Bedeutungsabgrenzung zu </t>
    </r>
    <r>
      <rPr>
        <i/>
        <sz val="11"/>
        <color rgb="FF000000"/>
        <rFont val="Calibri"/>
        <family val="2"/>
        <scheme val="minor"/>
      </rPr>
      <t>y</t>
    </r>
    <r>
      <rPr>
        <sz val="14"/>
        <color rgb="FF000000"/>
        <rFont val="-webkit-standard"/>
      </rPr>
      <t>, aber klar verbessert.</t>
    </r>
  </si>
  <si>
    <r>
      <t>Bildung mit </t>
    </r>
    <r>
      <rPr>
        <b/>
        <sz val="11"/>
        <color rgb="FF000000"/>
        <rFont val="Calibri"/>
        <family val="2"/>
        <scheme val="minor"/>
      </rPr>
      <t>avoir/être</t>
    </r>
    <r>
      <rPr>
        <sz val="14"/>
        <color rgb="FF000000"/>
        <rFont val="-webkit-standard"/>
      </rPr>
      <t> + Partizip meist korrekt und sinnvoll in Vorzukunftsketten (</t>
    </r>
    <r>
      <rPr>
        <i/>
        <sz val="11"/>
        <color rgb="FF000000"/>
        <rFont val="Calibri"/>
        <family val="2"/>
        <scheme val="minor"/>
      </rPr>
      <t>dès que/quand</t>
    </r>
    <r>
      <rPr>
        <sz val="14"/>
        <color rgb="FF000000"/>
        <rFont val="-webkit-standard"/>
      </rPr>
      <t>). Gelegentlich Auswahl des passenden Verbs (z. B. </t>
    </r>
    <r>
      <rPr>
        <i/>
        <sz val="11"/>
        <color rgb="FF000000"/>
        <rFont val="Calibri"/>
        <family val="2"/>
        <scheme val="minor"/>
      </rPr>
      <t>partir</t>
    </r>
    <r>
      <rPr>
        <sz val="14"/>
        <color rgb="FF000000"/>
        <rFont val="-webkit-standard"/>
      </rPr>
      <t> statt </t>
    </r>
    <r>
      <rPr>
        <i/>
        <sz val="11"/>
        <color rgb="FF000000"/>
        <rFont val="Calibri"/>
        <family val="2"/>
        <scheme val="minor"/>
      </rPr>
      <t>aller/venir</t>
    </r>
    <r>
      <rPr>
        <sz val="14"/>
        <color rgb="FF000000"/>
        <rFont val="-webkit-standard"/>
      </rPr>
      <t>) und Übereinkunft bei Bewegungsverben im Plural im Blick behalten.</t>
    </r>
  </si>
  <si>
    <r>
      <t>Sichere Formen bei häufigen Auslösern (</t>
    </r>
    <r>
      <rPr>
        <i/>
        <sz val="11"/>
        <color rgb="FF000000"/>
        <rFont val="Calibri"/>
        <family val="2"/>
        <scheme val="minor"/>
      </rPr>
      <t>il faut que…</t>
    </r>
    <r>
      <rPr>
        <sz val="14"/>
        <color rgb="FF000000"/>
        <rFont val="-webkit-standard"/>
      </rPr>
      <t>); anfangs unidiomatische Konstruktion mit gleichem Subjekt (</t>
    </r>
    <r>
      <rPr>
        <i/>
        <sz val="11"/>
        <color rgb="FF000000"/>
        <rFont val="Calibri"/>
        <family val="2"/>
        <scheme val="minor"/>
      </rPr>
      <t>je voudrais que je…</t>
    </r>
    <r>
      <rPr>
        <sz val="14"/>
        <color rgb="FF000000"/>
        <rFont val="-webkit-standard"/>
      </rPr>
      <t> → besser Infinitiv oder fester Auslöser). Unregelmäßige Verben sitzen.</t>
    </r>
  </si>
  <si>
    <t>Session 2</t>
  </si>
  <si>
    <t>Phase 4 – Reflexion
Was lief gut 👍
y / en: Position vor dem Verb und in der Negation sitzt (z. B. n’y pensons plus, j’en ai quelques-unes).
Futur antérieur: Form gebildet und sinnvoll eingesetzt (j’aurai pris, je serai sorti).
Subjonctif: Auslöser erkannt (il faut que… → que vous soyez).
dont / ce dont: Grundidee klar; du nutzt dont oft korrekt (dont je parle).
Wo noch Unsicherheit ist 🔧
ce dont vs. ce que / ce qui: Du nimmst manchmal dont, obwohl kein de-Bezug da ist (eigentlich ce que/ce qui).
Wortwahl &amp; Idiomatik: oublier de (nicht perdre), partir für „losgehen“.
Kleinigkeiten: demie nach heure; Artikel (une douche), Präpo bei Räumen (dans la salle de bains), Angleichungen (arrivés im Plural).
3 konkrete Tipps 🎯
„de-Test“ für dont
– Ersetze dein Relativpronomen testweise mit de + NOM.
– Klingt’s natürlich? → dont. Wenn nicht → que/qui.
Ex.: C’est exactement ___ je t’ai parlé. → parler de ⇒ dont.
Mini-Check für y und en
y ↔ „dorthin/darin“ (ersetzt à + lieu/chose).
en ↔ „davon/welche“ (ersetzt de + chose/Quantität).
Stell dir den deutschen Ersatz vor: Wenn du dorthin/darin sagen würdest → y; wenn davon/wie viele → en.
Futur antérieur in Ketten
Bau Standardmuster: Quand / Dès que + futur antérieur, Hauptsatz futur simple.
Merksatz: „Wenn X fertig sein wird, werde ich Y tun.“
1-Min-Drill: Schreibe täglich 2 Sätze mit quand/dès que/une fois que.</t>
  </si>
  <si>
    <r>
      <t>Bedeutung und Funktion als Konnektor (Kontrast) sind klar, und die Einbindung in Sätze gelingt meist gut; kleinere Detailprobleme betreffen v.a. Zeichensetzung/Position im Satz und die stilistische Abgrenzung zu einfacheren Konjunktionen wie </t>
    </r>
    <r>
      <rPr>
        <i/>
        <sz val="11"/>
        <color rgb="FF000000"/>
        <rFont val="Calibri"/>
        <family val="2"/>
        <scheme val="minor"/>
      </rPr>
      <t>mais</t>
    </r>
    <r>
      <rPr>
        <sz val="14"/>
        <color rgb="FF000000"/>
        <rFont val="-webkit-standard"/>
      </rPr>
      <t>.</t>
    </r>
  </si>
  <si>
    <r>
      <t>Strukturen wie </t>
    </r>
    <r>
      <rPr>
        <i/>
        <sz val="11"/>
        <color rgb="FF000000"/>
        <rFont val="Calibri"/>
        <family val="2"/>
        <scheme val="minor"/>
      </rPr>
      <t>plus/moins … que</t>
    </r>
    <r>
      <rPr>
        <sz val="14"/>
        <color rgb="FF000000"/>
        <rFont val="-webkit-standard"/>
      </rPr>
      <t> sitzen überwiegend sicher, ebenso bei Adjektiven; Unsicherheiten gibt es noch bei </t>
    </r>
    <r>
      <rPr>
        <i/>
        <sz val="11"/>
        <color rgb="FF000000"/>
        <rFont val="Calibri"/>
        <family val="2"/>
        <scheme val="minor"/>
      </rPr>
      <t>autant de</t>
    </r>
    <r>
      <rPr>
        <sz val="14"/>
        <color rgb="FF000000"/>
        <rFont val="-webkit-standard"/>
      </rPr>
      <t> vs. </t>
    </r>
    <r>
      <rPr>
        <i/>
        <sz val="11"/>
        <color rgb="FF000000"/>
        <rFont val="Calibri"/>
        <family val="2"/>
        <scheme val="minor"/>
      </rPr>
      <t>aussi</t>
    </r>
    <r>
      <rPr>
        <sz val="14"/>
        <color rgb="FF000000"/>
        <rFont val="-webkit-standard"/>
      </rPr>
      <t> und der Kombination mit Nomen (</t>
    </r>
    <r>
      <rPr>
        <i/>
        <sz val="11"/>
        <color rgb="FF000000"/>
        <rFont val="Calibri"/>
        <family val="2"/>
        <scheme val="minor"/>
      </rPr>
      <t>autant de travail que toi</t>
    </r>
    <r>
      <rPr>
        <sz val="14"/>
        <color rgb="FF000000"/>
        <rFont val="-webkit-standard"/>
      </rPr>
      <t>), sowie gelegentlich bei der Semantik (“früher” = </t>
    </r>
    <r>
      <rPr>
        <i/>
        <sz val="11"/>
        <color rgb="FF000000"/>
        <rFont val="Calibri"/>
        <family val="2"/>
        <scheme val="minor"/>
      </rPr>
      <t>avant</t>
    </r>
    <r>
      <rPr>
        <sz val="14"/>
        <color rgb="FF000000"/>
        <rFont val="-webkit-standard"/>
      </rPr>
      <t>, nicht </t>
    </r>
    <r>
      <rPr>
        <i/>
        <sz val="11"/>
        <color rgb="FF000000"/>
        <rFont val="Calibri"/>
        <family val="2"/>
        <scheme val="minor"/>
      </rPr>
      <t>plus tôt</t>
    </r>
    <r>
      <rPr>
        <sz val="14"/>
        <color rgb="FF000000"/>
        <rFont val="-webkit-standard"/>
      </rPr>
      <t>).</t>
    </r>
  </si>
  <si>
    <t>Grundstruktur si + Présent → Futur sitzt sicher, nur vereinzelt Tendenz, Futur im si-Teil zu verwenden und kleine Lexikfehler (z.B. Verbwahl bei „Film schauen“). In spontanen Sätzen weitgehend korrekt.</t>
  </si>
  <si>
    <t>Regel si + Imparfait → Conditionnel ist verstanden, anfangs Mischformen mit Futur/Conditionnel, später deutlich stabiler; vereinzelt kleine Formfehler (z.B. Elision „Si j’habitais“). Hypothetische Aussagen gelingen schon recht flüssig.</t>
  </si>
  <si>
    <t>Unterschied zwischen veränderlichen Grundfarben und unveränderlichen zusammengesetzten bzw. von Nomen abgeleiteten Farben (orange, marron, bleu clair) ist größtenteils sicher; einmalige Unsicherheit bei Kombinationen und ein Angleichungsfehler am Participe passé, der eher nicht zum Farbthema gehört.</t>
  </si>
  <si>
    <t>Session 3</t>
  </si>
  <si>
    <t>3. Phase 4 – Reflexion
Was lief gut?
Si-Sätze Typ 1 &amp; 2:
Du setzt die Strukturen schon ziemlich sicher:
s’il fait beau, nous pourrons… ✅
Si j’étais en forme, je jouerais… ✅
Farben &amp; Unveränderlichkeit:
une chemise orange ✅ (unveränderlich)
des chaussures bleues ✅ (angepasst)
Zeitangaben:
Il y a trois ans, j’y suis allé… ✅
Uhrzeit mit six heures et demie ✅
Du baust schon recht natürliche Sätze, die inhaltlich sehr gut verständlich sind.
Wo sind noch Unsicherheiten?
en vs. pendant vs. dans (Zeit):
en deux heures (Dauer / wie lange man braucht) vs.
pendant deux heures (zwei Stunden lang)
dans deux heures (in zwei Stunden, zukünftiger Startpunkt)
en vs. dans (Ort):
dans notre ville vs. en ville
dans le week-end ist falsch → einfach le week-end
Kleine Dinge wie: Adjektivstellung (un joli restaurant), „samedi prochain“, „ce jour-là“.
4. Konkrete Tipps für dich 🧠✨
Tipp 1 – Si-Sätze im Kopf „programmieren“
Mach dir zwei Mini-Formeln klar:
Typ 1 (real):
Si + présent → futur simple
→ Si j’ai le temps, je viendrai.
Typ 2 (irreal/hypothetisch):
Si + imparfait → conditionnel
→ Si j’avais le temps, je viendrais.
Wenn du einen Satz mit „wenn“ bildest, check kurz:
➡ Ist das real oder eher hypothetisch? → dann greifst du zur passenden Formel.
Tipp 2 – en / dans / pendant in der Zeit
en + Zeitdauer:
„ich brauche so lange dafür“
→ Je peux finir ce livre en trois jours.
dans + Zeitdauer:
„es beginnt in …“
→ Je vais partir dans deux jours.
pendant + Zeitdauer:
„so lange hat es gedauert / dauert es“
→ J’ai travaillé pendant deux heures.
Wenn du „vor X Jahren“ sagen willst:
→ il y a X ans
Tipp 3 – Farben: Nur manche bleiben stur
Merksatz:
Einfache Farben: passen sich an
→ des chaussures bleues, des fleurs rouges
Zusammengesetzte Farben oder von Nomen abgeleitet: unveränderlich
→ une chemise orange, des pulls bleu clair, des pantalons marron
Du hast das mit orange schon sehr gut benutzt, das kannst du bewusst weiterspielen.</t>
  </si>
  <si>
    <t>C2 – Tempusarchitektur in komplexen Textsorten (Erzählzeit, Perspektivwechsel, Analepsen/Prolepsen)</t>
  </si>
  <si>
    <t>C2 – Passé simple: aktive Beherrschung in Literatur/Essay (Bildung, unregelmäßige Stämme, Stilwert)</t>
  </si>
  <si>
    <t>C2 – Passé antérieur: Vorvergangenheit im literarischen Bericht (selten, aber produktiv)</t>
  </si>
  <si>
    <t>C2 – Imparfait narratif vs. descriptif: Effekte, Spannungsaufbau, Iterativ/Habituell</t>
  </si>
  <si>
    <t>C2 – Plus-que-parfait &amp; Futur antérieur: inferenzielle Lesarten (Vermutung, Schluss)</t>
  </si>
  <si>
    <t>C2 – Futur dans le passé: konditionale Zukunft in Berichten, Presse, Stilabstufung</t>
  </si>
  <si>
    <t>C2 – Conditionnel journalistique (angeblich/Mutmaßung): Formen, Quellenabsicherung</t>
  </si>
  <si>
    <t>C2 – Conditionnel passé II (Nuancen, seltene Form) und stilistische Wirkung</t>
  </si>
  <si>
    <t>C2 – Hypotaxe mit gemischten Konditionalsätzen (kombinierte Typen, verschachtelte Perioden)</t>
  </si>
  <si>
    <t>C2 – wie wenn-Konstruktionen: comme si + imparfait/plus-que-parfait (Irrealität, Ironie)</t>
  </si>
  <si>
    <t>C2 – Subjonctif imparfait &amp; plus-que-parfait: Erkennen und gezielter Einsatz in gehobener Schriftsprache</t>
  </si>
  <si>
    <t>C2 – Subjonctif nach Superlativen, Einzigkeit, emotionaler Bewertung (feine Grenzfälle)</t>
  </si>
  <si>
    <t>C2 – Subjonctif vs. Indicatif bei Meinungsverben unter Negation/Frage/Impersonalia (Nuancen)</t>
  </si>
  <si>
    <t>C2 – Konsekutivsätze mit Subjonctif: pour que, de sorte que / de manière que (Ziel vs. Folge)</t>
  </si>
  <si>
    <t>C2 – Ne explétif: systematische Beherrschung (avant que, à moins que, de peur que, craindre que)</t>
  </si>
  <si>
    <t>C2 – Subjonctif in feststehenden Wendungen (soit, vive, qu’il en soit ainsi, fût-ce)</t>
  </si>
  <si>
    <t>C2 – Indirekte Rede: vollständige Zeitenfolge inkl. literarischer Zeiten, Perspektivenwechsel</t>
  </si>
  <si>
    <t>C2 – Style indirect libre &amp; erlebte Rede: Markierungen, Deixisverschiebung, Ironiesignale</t>
  </si>
  <si>
    <t>C2 – Indirekte Fragen komplex (mehrschichtige Einbettung, Ambiguitätsauflösung)</t>
  </si>
  <si>
    <t>C2 – Relativsystem auf hohem Niveau: lequel/auquel/duquel vs. dont/ce dont (feine Selektion)</t>
  </si>
  <si>
    <t>C2 – Relativierungen mit Präposition + Relativ (Person/Sache; Registerwahl)</t>
  </si>
  <si>
    <t>C2 – Relativadverbien erweitert: où zeitlich/örtlich, ce à quoi / ce de quoi über Sätze hinweg</t>
  </si>
  <si>
    <t>C2 – Appositive Relativsätze, Parenthesen, Kommapraktiken im gehobenen Stil</t>
  </si>
  <si>
    <t>C2 – Klitikreihenfolge vollständig in komplexen Verbgruppen (Modal + Inf., Periphrasen, Zeiten)</t>
  </si>
  <si>
    <t>C2 – Doppelpronomen im Imperativ: seltene Kombinationen, Bindestrich/Elision, Lautfluss</t>
  </si>
  <si>
    <t>C2 – Neutrales „le“ (le croire/le penser) und satzwertiges „ce“ (c’est … qui/que) – Fokussteuerung</t>
  </si>
  <si>
    <t>C2 – y &amp; en: Mengen-/Ortssubstitution mit Zahlbezug, Doppelungen, Restriktionen</t>
  </si>
  <si>
    <t>C2 – Dislozierung &amp; Cleft: c’est… qui/que; ce sont…; Mise en relief in langen Perioden</t>
  </si>
  <si>
    <t>C2 – Passiv-Varianten: être-passif vs. se-passif vs. on-perspektive (Stil, Agentenmarkierung par/de)</t>
  </si>
  <si>
    <t>C2 – Causatif faire/laisser + Infinitiv: Objektplatzierung, Ambiguitäten, Passivierungsketten</t>
  </si>
  <si>
    <t>C2 – Pseudopassiv: se faire / se voir / se laisser + Infinitiv als stilistische Alternativen</t>
  </si>
  <si>
    <t>C2 – Partizip-Perfekt-Angleichung: Grenzfälle (en, vorangestellter COD, pronominale Verben)</t>
  </si>
  <si>
    <t>C2 – Participe présent vs. adjectif verbal: Form, Orthografie, Bedeutungsunterschiede</t>
  </si>
  <si>
    <t>C2 – Gérondif (en + Partizip): Bedingung/Einschränkung/Konzession, Vermeidung von Dangling-Constructions</t>
  </si>
  <si>
    <t>C2 – Infinitif présent / passé: Gleich-/Vorzeitigkeit, Subjektidentität, juristischer/administrativer Stil</t>
  </si>
  <si>
    <t>C2 – Adjektivstellung &amp; Bedeutungswechsel in feinen Registern (ancien/cher/grand/pauvre/propre/certain…)</t>
  </si>
  <si>
    <t>C2 – Komplexe Grad- und Vergleichskonstruktionen: d’autant (plus)… que; plus… plus…; autant… que…</t>
  </si>
  <si>
    <t>C2 – mieux vs. meilleur; le mieux vs. le meilleur: stilistische Präferenz, semantische Schattierung</t>
  </si>
  <si>
    <t>C2 – tout/toute/tous/toutes: Adjektiv/Adverb/Pronomen – Ausnahmen, Idiomatismen</t>
  </si>
  <si>
    <t>C2 – Farbadjektive &amp; zusammengesetzte Adjektive: Flexion vs. Unveränderlichkeit im Detail</t>
  </si>
  <si>
    <t>C2 – Determinierer &amp; Indefinita in gehobenem Stil: nul, quiconque, tel, maint, force, quelque… que + Subj.</t>
  </si>
  <si>
    <t>C2 – Korrelationen &amp; Verteilungsstrukturen: les uns… les autres; chacun…; d’aucuns; nombre de</t>
  </si>
  <si>
    <t>C2 – Quantoren &amp; Mengen: Kongruenzregeln mit la plupart/la majorité/une partie/plus d’un</t>
  </si>
  <si>
    <t>C2 – Zahlen/Brüche/Prozente: wissenschaftliche und juristische Notation, Rundungen, Intervallangaben</t>
  </si>
  <si>
    <t>C2 – Zeit-/Fristangaben präzise: d’ici à, sous quinzaine, au plus tard, d’ores et déjà, à compter de</t>
  </si>
  <si>
    <t>C2 – Negation hochstilisiert: ne… point, ne… guère, ne… mie (archaisch), doppelte Negation mit Fokus</t>
  </si>
  <si>
    <t>C2 – Restriktiv: ne… que – Informationsstruktur, Skopus, mehrgliedrige Verbalkomplexe</t>
  </si>
  <si>
    <t>C2 – Ne-Wegfall vs. Erhaltung: Registerkompetenz Mündlich/Schriftlich</t>
  </si>
  <si>
    <t>C2 – Präpositionalgefüge gehoben: quant à, hormis, excepté, nonobstant, moyennant, eu égard à</t>
  </si>
  <si>
    <t>C2 – en vs. dans: Zukunft/Dauer/Ort – feine Abgrenzung in amtlichen Texten</t>
  </si>
  <si>
    <t>C2 – Verben mit à/de + Infinitiv: Bedeutungsverschiebungen, Valenz, idiomatische Fixierungen</t>
  </si>
  <si>
    <t>C2 – Lokalisierung/Richtung: auprès de, au sein de, au chevet de, à l’endroit de, à l’égard de</t>
  </si>
  <si>
    <t>C2 – Konnektoren für Argumentation hochformal: partant, dès lors, pour autant, ce faisant, de surcroît, au demeurant</t>
  </si>
  <si>
    <t>C2 – Ursache/Folge/Ziel/Einräumung/Bed.: de sorte que / si bien que / encore que + Subj. / quand bien même</t>
  </si>
  <si>
    <t>C2 – Struktur &amp; Periodenbau: nicht nur… sondern auch (non seulement… mais encore…), parall. Syntax, Chiasmus</t>
  </si>
  <si>
    <t>C2 – Informationsstruktur auf Textebene: Thema-Rhema-Progression, Anaphern/Deixis, Kohäsion über Proformen</t>
  </si>
  <si>
    <t>C2 – Präsentativa &amp; Fokus: voilà/voici … qui; il y a … que (Dauer), emphatische Inversion</t>
  </si>
  <si>
    <t>C2 – Ellipse, Ausklammerung, Parenthese: Lesbarkeit vs. Dichte</t>
  </si>
  <si>
    <t>C2 – Orthotypografie: « guillemets »/„Anführungen“, geschützte Leerzeichen, Semikolon, Gedankenstrich, Auslassungspunkte</t>
  </si>
  <si>
    <t>C2 – Zahl-/Währungs-/Datumsnormen: Leerzeichenregeln, 24-h-Format, SI-Einheiten, Bindestriche bei Zahlwörtern</t>
  </si>
  <si>
    <t>C2 – Interpunktionsfeinheiten: Kommas bei Einschüben/Infinitivgruppen, Doppelpunkt/Strichpunkt in Argumentation</t>
  </si>
  <si>
    <t>C2 – Registermanagement: courant vs. soutenu vs. administratif vs. académique vs. journalistique</t>
  </si>
  <si>
    <t>C2 – Nominalisierung &amp; Verdichtung: Verdichtungsstrategien, Relativkompression, Präpositionalattribute</t>
  </si>
  <si>
    <t>C2 – Modalität paraphrastisch: venir à/de, finir par, faillir, devoir vs. devoir de, aller + Inf. (Projekt, Evidenz)</t>
  </si>
  <si>
    <t>C2 – Formelhafte Konstruktionen: il s’agit de…, force est de constater…, il n’en demeure pas moins que…, reste que…</t>
  </si>
  <si>
    <t>C2 – Pragmatische Feinheiten: Höflichkeitsstrategien, Distanzmarker, Hedging (il semblerait que…, il se peut que…)</t>
  </si>
  <si>
    <t>C2 – Ironie, Litotes, Hyperbel: grammatische Markierungen, Negationsspiele</t>
  </si>
  <si>
    <t>C2 – Ambiguitätsmanagement: Pronomenauflösung, Referenzketten, lange Vorfelder</t>
  </si>
  <si>
    <t>C2 – Fehlerquellen C2: Kongruenzfallen (leur/leurs; tout/toute/toutes; demi/nu), que/qu’-Ketten, Registerkonflikte</t>
  </si>
  <si>
    <t>C2 – Rezeption komplexer Stile: passé simple/antérieur, subjonctif imparfait/plus-que-parfait, Periodensätze in Presse/Literatur</t>
  </si>
  <si>
    <t>C2 – Produktion: stilistisch angemessene Paraphrasen, Umformulierungen, Variation von Satzmustern</t>
  </si>
  <si>
    <t>C2</t>
  </si>
  <si>
    <t>Session 4</t>
  </si>
  <si>
    <t>Nice, Reflexionsmodus aktiviert 🧪🧠
## 1. Gesamtbild
Du bist **klar im B2-Land unterwegs**:
Du traust dich, komplexe Strukturen zu benutzen (si-Sätze, doppelte Pronomen, y/en, Zahlen + Kontext) und machst vor allem **Fortgeschrittenenfehler**, nicht Anfängerfehler. Das ist ein gutes Zeichen: dein System ist da, nur die Feinjustierung fehlt noch.
---
## 2. Was gut lief – nach Themen
### 🔹 Demonstrativpronomen (celui/celle/ceux/celles)
**Stark:**
* Du setzt sie bewusst ein, nicht zufällig.
* Du triffst Genus und Zahl oft schon richtig (*celle/celles* für Rezepte / Sachen im Femininum etc.).
**Noch wackelig:**
* Manchmal verwendest du **celui** dort, wo einfach **ce / c’ / il** natürlicher wäre (*celui était très bien* → *c’était très bien*).
* Einmal hast du *ceux* als Art Objektpronomen benutzt (*pour payer ceux*) → da ist eigentlich **les** (COD-Pronomen) gefragt.
👉 Grundmuster sitzt, Feintuning ist:
**„Ersetze ich ein Nomen (celui/celle) oder beschreibe ich es nur (ce/cet/cette/ces)?“**
---
### 🔹 Zahlen 70–99
**Stark:**
* Formen wie *soixante-douze, quatre-vingt-huit, quatre-vingt-quatorze, quatre-vingt-dix-neuf* hast du sicher getroffen.
* Auch das Prinzip *soixante-dix / quatre-vingts / quatre-vingt-dix* ist klar.
**Mini-Baustelle:**
* Du hast einmal 90 als 99 formuliert → das ist eher ein Konzentrations- als ein Wissensfehler.
---
### 🔹 COD / COI &amp; Pronomenreihenfolge
**Stark:**
* Du setzt **le/la/les** vs. **lui/leur** meist richtig ein, besonders nach der kurzen Korrektur von *je leur écoute* → *je les écoute*.
* Du hast korrekte Sequenzen wie **je le lui donne**, **nous le leur expliquons**, **je le lui ai payé**, **je leur en donne**, **il lui en parle**, **il les lui envoie** gebaut.
  Das ist ganz klar B2-Niveau.
**Noch wackelig:**
* Gelegentlich verrutscht das **richtige Pronomen** (Genus/Zahl), z.B. *Je les lui prête* statt *Je le leur prête* (le livre).
* Bei Inversion (*prêtes-tu…*) sind die Pronomen einmal an die falsche Stelle gerutscht (*prêtes-tu la lui ?* statt *La lui prêtes-tu ?*).
---
### 🔹 Si-Sätze Typ 3 &amp; gemischte Perioden
**Stark:**
* Strukturen wie
  *Si j’avais su…, j’aurais préparé…*
  *Si nous avions eu…, nous aurions visité…*
  *Si j’avais eu assez d’argent, …*
  kamen bei dir **direkt in der korrekten Form**. Das ist keine Kleinigkeit.
* Auch gemischte Perioden (Vergangenheit → Gegenwart) hast du im Prinzip richtig aufgebaut (*Si j’avais mieux dormi hier, je serais moins fatigué aujourd’hui.* – mit kleinen Stellungsfehlern).
**Noch wackelig:**
* Hilfsverben geraten dir manchmal durcheinander: *si tu étais été* statt **si tu avais été**.
* Einmal hast du Futur statt Conditionnel genutzt (*nous aurons déjà terminé* statt **nous aurions déjà terminé**).
* In einem Satz war das Subjekt verdreht: du sagtest, *du* wärst zerstreut, aber *ich* hätte den Termin vergessen.
---
### 🔹 Pronomenkette (volle Klitik-Sequenz)
**Stark:**
* Du kennst die Reihenfolge praktisch:
  **(me/te/se/nous/vous) → le/la/les → lui/leur → y → en**
  Und du verwendest sie korrekt in vielen Sätzen.
* Du benutzt **y** und **en** sinnvoll und kombinierst sie mit anderen Pronomen (*Je lui en parle, Je leur en donne, Nous y allons souvent*).
**Noch wackelig:**
* Bei sehr dichter Kombi mit Zahl + y/en wurdest du etwas unnatürlich (*Nous y allons souvent et en passons toujours 3 jours* – verständlich, aber stilistisch holprig).
* Inversion + Pronomen (Fragesätze) ist noch nicht automatisiert.
---
## 3. Konkrete Tipps (2–3 Fokus-Hebel)
Lass uns das auf wirklich **3 Hebel** runterkochen, die dir maximal viel bringen:
### ✅ Tipp 1: Mini-Routine für „celui / celle“
Wenn du **celui/celle/ceux/celles** verwenden willst, geh innerlich immer diese Checkliste durch:
1. **Welches Nomen ersetze ich?** → Genus/Zahl klarmachen: *le pull* → celui, *la robe* → celle, *les chaussures* → celles usw.
2. **Steht das Nomen noch im Satz?**
   * Wenn ja → **kein** celui, dann brauchst du *ce/cet/cette/ces*.
   * Wenn nein → **celui/celle/etc.** ist okay.
3. **Kann ich es klarer machen mit**
   * *celui-ci / celui-là* (dieser hier / jener dort)
   * oder *celui que…* (der, den …)?
Wenn du das 20–30× bewusst machst, rutscht es ins Muskelgedächtnis.
---
### ✅ Tipp 2: „Reflex-Sätze“ für Si-Sätze
Lern dir 2–3 feste **Reflex-Sätze** auswendig, die du als Schablone benutzt:
* **Typ 3 (irreale Vergangenheit):**
  &gt; *Si j’avais su, je ne serais pas venu.*
  &gt; *Si j’avais eu plus de temps, j’aurais fini le projet.*
* **Gemischt (Vergangenheit → Gegenwart):**
  &gt; *Si j’avais mieux dormi, je serais plus concentré aujourd’hui.*
* **Gegenwartsbedingung → vergangene Folge:**
  &gt; *Si je n’étais pas si distrait, je n’aurais pas oublié le rendez-vous.*
Beim Produzieren neuer Sätze kannst du dich immer fragen:
„Passt das in eines dieser Muster? Wenn ja → Zeitformen daran ausrichten.“
---
### ✅ Tipp 3: Ein paar Kernverben als COD/COI-Anker
Baue dir eine kleine mentale Liste mit Verben, bei denen du **automatisch** an COD oder COI denkst:
* **Immer COD (le/la/les)**:
  *écouter, aider, attendre, voir, aimer, comprendre*
  → *Je **les** écoute*, *Je **l’**attends*, *Je **les** aide*, etc.
* **Oft COI (lui/leur)**:
  *parler à, téléphoner à, écrire à, expliquer à (personne)*
  → *Je **lui** parle*, *Je **leur** écris*, *Je **le** **leur** explique*.
Wenn du neue Verben lernst, kannst du sie direkt in diese Schubladen einsortieren. Das macht die Pronomenwahl irgendwann fast automatisch.
---
Unterm Strich: du bist an einem Punkt, wo **gezielte Wiederholung + viel freie Anwendung** ideal sind. Beim nächsten Mal könnte man z.B. einen Mini-Rollenspiel-Tag machen („stressiger Arbeitstag mit verpassten Terminen“), in dem du spontan sprichst und ich live die Grammatik einflechte.</t>
  </si>
  <si>
    <t>Formen und Struktur der Zahlen 70–99 sind weitgehend sicher, inklusive Bindestrichen und Plural-s bei „quatre-vingts“. Einzelne Flüchtigkeitsfehler treten auf (z.B. 99 statt 90 gewählt), aber das System ist verstanden.</t>
  </si>
  <si>
    <t>COD-Pronomen werden meist korrekt gewählt und positioniert, auch in Kombination mit anderen Pronomen. Gelegentliche Verwechslung mit COI tritt insbesondere bei Verben wie „écouter“ auf, und manchmal wird ein Demonstrativpronomen („ceux“) statt des COD-Pronomens „les“ verwendet.</t>
  </si>
  <si>
    <t>„lui/leur“ wird in typischen Strukturen (parler à, donner à, expliquer à) überwiegend korrekt eingesetzt, auch mit anderen Pronomen kombiniert. Es gibt noch Interferenzen mit COD bei bestimmten Verben (z.B. Tendenz zu „leur“ bei Verben, die eigentlich ein direktes Objekt verlangen).</t>
  </si>
  <si>
    <t>Die feste Reihenfolge (me/te/nous/vous → le/la/les → lui/leur → y → en) wird in vielen Sätzen korrekt angewendet, einschließlich Kombinationen mit „en“ und „y“. Schwierigkeiten zeigen sich noch bei der Wahl des passenden Pronomens (le vs. les, lui vs. leur), bei Inversionsfragen und in etwas unnatürlichen Häufungen von y/en mit Mengenangaben.</t>
  </si>
  <si>
    <t>C2:</t>
  </si>
  <si>
    <t>Session 5</t>
  </si>
  <si>
    <t>🌟 Phase 4 – Kurze Reflexion
Was schon richtig gut läuft
Du setzt die Strukturen aktiv ein, nicht nur in Mini-Sätzen → super wichtig für B1/B2.
Passé composé / imparfait: Grundidee sitzt, du verwendest beides sinnvoll.
Negation: ni… ni… und aucun sind da, nur kleine Artikeldetails.
Subjonctif: richtige Auslöser gewählt (souhaiter que, ne pas croire que).
Woran du noch feilen kannst
Kleine Wörter &amp; Präpositionen: chez moi / à la maison / dans la cuisine, non plus statt aussi in negativen Sätzen.
Zeitangaben mit passé récent: lieber einfach: Mes amis viennent de partir oder Il y a 20 minutes, ils sont partis… – nicht alles auf einmal mischen.
Akzente &amp; Kleinkram: thé, café, à, tôt – fürs Schreiben wichtig, fürs Sprechen egal, aber auf B1/B2 lohnt sich die Mühe.
3 konkrete Tipps für dich
🧱 Merkblöcke bauen:
Schreib dir auf eine Karte:
Je n’ai aucun… + Singular
Je n’ai aucun pain / aucun problème / aucune idée
und lies sie 1–2 Tage immer mal wieder.
🎭 Mini-Sätze mit Subjonctif automatisieren:
Täglich 5 Sätze mit:
Je veux que…
Je suis content que…
Je ne crois pas que…
→ So wird dein Gehirn an den Subjonctif-Auslöser gewöhnt.
⏳ Passé récent vs. passé composé üben:
Mach dir Paare:
Je viens de manger. ↔ J’ai mangé.
Ils viennent d’arriver. ↔ Ils sont arrivés.
und versuch, jeweils auf Deutsch zu unterscheiden: „gerade eben“ vs. „irgendwann (neulich/heute/gestern)“.
Wenn du magst, können wir als Nächstes eine kurze Dialogübung machen, in der du spontan mit venir de, être en train de, ni… ni… und Subjonctif antwortest – eher wie im echten Gespräch 🇫🇷🗣️</t>
  </si>
  <si>
    <r>
      <t>Grundstruktur „Mengenwort + de + Nomen“ sitzt sicher, auch in freien Texten; gelegentliche Fehler betreffen eher Genus/Artikel (z.B. </t>
    </r>
    <r>
      <rPr>
        <i/>
        <sz val="11"/>
        <color rgb="FF000000"/>
        <rFont val="Calibri"/>
        <family val="2"/>
        <scheme val="minor"/>
      </rPr>
      <t>un/une bouteille</t>
    </r>
    <r>
      <rPr>
        <sz val="14"/>
        <color rgb="FF000000"/>
        <rFont val="-webkit-standard"/>
      </rPr>
      <t>), nicht das eigentliche Mengenmuster. Anwendung wirkt insgesamt automatisiert.</t>
    </r>
  </si>
  <si>
    <r>
      <t>Präsens, passé composé, imparfait und futur proche werden funktional korrekt eingesetzt (Hintergrund vs. Ereignis, Plan/Zukunft); Unsicherheit zeigt sich noch bei Kombinationen mit anderen Aspekten (passé récent, Kontextangaben wie </t>
    </r>
    <r>
      <rPr>
        <i/>
        <sz val="11"/>
        <color rgb="FF000000"/>
        <rFont val="Calibri"/>
        <family val="2"/>
        <scheme val="minor"/>
      </rPr>
      <t>il y a</t>
    </r>
    <r>
      <rPr>
        <sz val="14"/>
        <color rgb="FF000000"/>
        <rFont val="-webkit-standard"/>
      </rPr>
      <t>, </t>
    </r>
    <r>
      <rPr>
        <i/>
        <sz val="11"/>
        <color rgb="FF000000"/>
        <rFont val="Calibri"/>
        <family val="2"/>
        <scheme val="minor"/>
      </rPr>
      <t>depuis</t>
    </r>
    <r>
      <rPr>
        <sz val="14"/>
        <color rgb="FF000000"/>
        <rFont val="-webkit-standard"/>
      </rPr>
      <t>). Grundprinzip ist verstanden, Feintuning nötig.</t>
    </r>
  </si>
  <si>
    <r>
      <t>Bedeutung „gerade eben getan haben“ ist klar, aber formale Fehler treten wiederholt auf (Auslassung von </t>
    </r>
    <r>
      <rPr>
        <i/>
        <sz val="11"/>
        <color rgb="FF000000"/>
        <rFont val="Calibri"/>
        <family val="2"/>
        <scheme val="minor"/>
      </rPr>
      <t>de</t>
    </r>
    <r>
      <rPr>
        <sz val="14"/>
        <color rgb="FF000000"/>
        <rFont val="-webkit-standard"/>
      </rPr>
      <t>, unnatürliche Kombination mit Zeitangaben wie </t>
    </r>
    <r>
      <rPr>
        <i/>
        <sz val="11"/>
        <color rgb="FF000000"/>
        <rFont val="Calibri"/>
        <family val="2"/>
        <scheme val="minor"/>
      </rPr>
      <t>il y a</t>
    </r>
    <r>
      <rPr>
        <sz val="14"/>
        <color rgb="FF000000"/>
        <rFont val="-webkit-standard"/>
      </rPr>
      <t> oder </t>
    </r>
    <r>
      <rPr>
        <i/>
        <sz val="11"/>
        <color rgb="FF000000"/>
        <rFont val="Calibri"/>
        <family val="2"/>
        <scheme val="minor"/>
      </rPr>
      <t>depuis</t>
    </r>
    <r>
      <rPr>
        <sz val="14"/>
        <color rgb="FF000000"/>
        <rFont val="-webkit-standard"/>
      </rPr>
      <t>). Abgrenzung zum normalen passé composé ist verstanden, Formautomatismus fehlt noch.</t>
    </r>
  </si>
  <si>
    <r>
      <t>Struktur </t>
    </r>
    <r>
      <rPr>
        <i/>
        <sz val="11"/>
        <color rgb="FF000000"/>
        <rFont val="Calibri"/>
        <family val="2"/>
        <scheme val="minor"/>
      </rPr>
      <t>être en train de + Infinitiv</t>
    </r>
    <r>
      <rPr>
        <sz val="14"/>
        <color rgb="FF000000"/>
        <rFont val="-webkit-standard"/>
      </rPr>
      <t> wird konstant korrekt gebildet und auch spontan in freien Sätzen genutzt; nur leichte stilistische Feinschliffe bei Zeitangaben/Verbwahl nötig. Konzept ist sicher und nahezu fehlerfrei.</t>
    </r>
  </si>
  <si>
    <r>
      <t>Grundidee von „weder… noch…“ und „kein(e)“ ist verstanden, aber wiederkehrende Fehler bei Artikeln und Numerus (Artikel nach </t>
    </r>
    <r>
      <rPr>
        <i/>
        <sz val="11"/>
        <color rgb="FF000000"/>
        <rFont val="Calibri"/>
        <family val="2"/>
        <scheme val="minor"/>
      </rPr>
      <t>ni… ni…</t>
    </r>
    <r>
      <rPr>
        <sz val="14"/>
        <color rgb="FF000000"/>
        <rFont val="-webkit-standard"/>
      </rPr>
      <t> nicht weglassen, </t>
    </r>
    <r>
      <rPr>
        <i/>
        <sz val="11"/>
        <color rgb="FF000000"/>
        <rFont val="Calibri"/>
        <family val="2"/>
        <scheme val="minor"/>
      </rPr>
      <t>aucun</t>
    </r>
    <r>
      <rPr>
        <sz val="14"/>
        <color rgb="FF000000"/>
        <rFont val="-webkit-standard"/>
      </rPr>
      <t> + Singular; Verwechslung mit Strukturen wie </t>
    </r>
    <r>
      <rPr>
        <i/>
        <sz val="11"/>
        <color rgb="FF000000"/>
        <rFont val="Calibri"/>
        <family val="2"/>
        <scheme val="minor"/>
      </rPr>
      <t>aucun des…</t>
    </r>
    <r>
      <rPr>
        <sz val="14"/>
        <color rgb="FF000000"/>
        <rFont val="-webkit-standard"/>
      </rPr>
      <t> und </t>
    </r>
    <r>
      <rPr>
        <i/>
        <sz val="11"/>
        <color rgb="FF000000"/>
        <rFont val="Calibri"/>
        <family val="2"/>
        <scheme val="minor"/>
      </rPr>
      <t>aussi/non plus</t>
    </r>
    <r>
      <rPr>
        <sz val="14"/>
        <color rgb="FF000000"/>
        <rFont val="-webkit-standard"/>
      </rPr>
      <t>). Konzept noch nicht stabil automatisiert.</t>
    </r>
  </si>
  <si>
    <r>
      <t>Typische Auslöser wie </t>
    </r>
    <r>
      <rPr>
        <i/>
        <sz val="11"/>
        <color rgb="FF000000"/>
        <rFont val="Calibri"/>
        <family val="2"/>
        <scheme val="minor"/>
      </rPr>
      <t>vouloir que, souhaiter que, il faut que, ne pas croire que</t>
    </r>
    <r>
      <rPr>
        <sz val="14"/>
        <color rgb="FF000000"/>
        <rFont val="-webkit-standard"/>
      </rPr>
      <t> werden richtig erkannt und meist korrekt mit Subjonctif ergänzt; Schwierigkeiten liegen bei unregelmäßigen Formen (v.a. </t>
    </r>
    <r>
      <rPr>
        <i/>
        <sz val="11"/>
        <color rgb="FF000000"/>
        <rFont val="Calibri"/>
        <family val="2"/>
        <scheme val="minor"/>
      </rPr>
      <t>être, venir</t>
    </r>
    <r>
      <rPr>
        <sz val="14"/>
        <color rgb="FF000000"/>
        <rFont val="-webkit-standard"/>
      </rPr>
      <t> in nous/vous-Formen) und gelegentlich bei der natürlichen Verbwahl im Nebensatz. Funktional vorhanden, aber noch nicht sicher.</t>
    </r>
  </si>
  <si>
    <t>Session 6</t>
  </si>
  <si>
    <t>🔚 Phase 4 – Kurze Reflexion
✅ Was schon richtig gut lief
Du nutzt Plus-que-parfait und Si-Sätze Typ 3 aktiv – auch wenn Formen manchmal noch holpern, ist die Struktur da.
Du verwendest Adverbien (beaucoup, peut-être, plus) sinnvoll.
Du hast ein Beispiel mit tonischem Pronomen nach Präposition: Avec elle… ✅
Inhaltlich schreibst du sehr persönlich und klar – super für den Lernfortschritt.
🎯 3 konkrete Tipps für diese Konzepte
Plus-que-parfait bauen wie Formel:
→ Imparfait von avoir/être + participe passé
mourir → elle était morte
partir → nous étions partis
finir → j’avais fini
Si-Sätze Typ 3 – nie „aurais“ im si-Teil:
immer: si + plus-que-parfait
und in der Folge: conditionnel passé
→ Si j’avais su, je t’aurais aidé.
Adverb-Stellung im Satz merken:
meistens: Subjekt + Verb + Adverb
→ Je travaille beaucoup. / Nous parlons souvent avec eux.
déjà / toujours / souvent stehen oft zwischen Hilfsverb und Partizip:
→ Nous avions déjà commencé. / Ils ont toujours été gentils.
Wenn du möchtest, können wir als nächste Mini-Übung deinen Text leicht umschreiben, damit du ce qui / ce que / ce dont auch noch bewusst einbaust (z.B. Ce qui m’a le plus touché, c’est…).</t>
  </si>
  <si>
    <r>
      <t>tellung der Adverbien im Satz war sicher, auch in Kombination mit zusammengesetzten Zeiten; Hauptschwierigkeiten lagen eher in der natürlichen Wortwahl (z.B. </t>
    </r>
    <r>
      <rPr>
        <i/>
        <sz val="11"/>
        <color rgb="FF000000"/>
        <rFont val="Calibri"/>
        <family val="2"/>
        <scheme val="minor"/>
      </rPr>
      <t>vivre plus</t>
    </r>
    <r>
      <rPr>
        <sz val="14"/>
        <color rgb="FF000000"/>
        <rFont val="-webkit-standard"/>
      </rPr>
      <t> statt </t>
    </r>
    <r>
      <rPr>
        <i/>
        <sz val="11"/>
        <color rgb="FF000000"/>
        <rFont val="Calibri"/>
        <family val="2"/>
        <scheme val="minor"/>
      </rPr>
      <t>vivre plus longtemps</t>
    </r>
    <r>
      <rPr>
        <sz val="14"/>
        <color rgb="FF000000"/>
        <rFont val="-webkit-standard"/>
      </rPr>
      <t>, </t>
    </r>
    <r>
      <rPr>
        <i/>
        <sz val="11"/>
        <color rgb="FF000000"/>
        <rFont val="Calibri"/>
        <family val="2"/>
        <scheme val="minor"/>
      </rPr>
      <t>très</t>
    </r>
    <r>
      <rPr>
        <sz val="14"/>
        <color rgb="FF000000"/>
        <rFont val="-webkit-standard"/>
      </rPr>
      <t> vs. </t>
    </r>
    <r>
      <rPr>
        <i/>
        <sz val="11"/>
        <color rgb="FF000000"/>
        <rFont val="Calibri"/>
        <family val="2"/>
        <scheme val="minor"/>
      </rPr>
      <t>beaucoup</t>
    </r>
    <r>
      <rPr>
        <sz val="14"/>
        <color rgb="FF000000"/>
        <rFont val="-webkit-standard"/>
      </rPr>
      <t>). Einzelne frühere Fehler wie </t>
    </r>
    <r>
      <rPr>
        <i/>
        <sz val="11"/>
        <color rgb="FF000000"/>
        <rFont val="Calibri"/>
        <family val="2"/>
        <scheme val="minor"/>
      </rPr>
      <t>Nous sommes très aimons ce film</t>
    </r>
    <r>
      <rPr>
        <sz val="14"/>
        <color rgb="FF000000"/>
        <rFont val="-webkit-standard"/>
      </rPr>
      <t> zeigen, dass die Kombination „Adverb + Verb“ noch etwas Automatisierung braucht.</t>
    </r>
  </si>
  <si>
    <r>
      <t>Verwendung von </t>
    </r>
    <r>
      <rPr>
        <i/>
        <sz val="11"/>
        <color rgb="FF000000"/>
        <rFont val="Calibri"/>
        <family val="2"/>
        <scheme val="minor"/>
      </rPr>
      <t>moi, toi, eux, elle</t>
    </r>
    <r>
      <rPr>
        <sz val="14"/>
        <color rgb="FF000000"/>
        <rFont val="-webkit-standard"/>
      </rPr>
      <t> nach Präpositionen war überwiegend korrekt (</t>
    </r>
    <r>
      <rPr>
        <i/>
        <sz val="11"/>
        <color rgb="FF000000"/>
        <rFont val="Calibri"/>
        <family val="2"/>
        <scheme val="minor"/>
      </rPr>
      <t>avec moi</t>
    </r>
    <r>
      <rPr>
        <sz val="14"/>
        <color rgb="FF000000"/>
        <rFont val="-webkit-standard"/>
      </rPr>
      <t>, </t>
    </r>
    <r>
      <rPr>
        <i/>
        <sz val="11"/>
        <color rgb="FF000000"/>
        <rFont val="Calibri"/>
        <family val="2"/>
        <scheme val="minor"/>
      </rPr>
      <t>avec eux</t>
    </r>
    <r>
      <rPr>
        <sz val="14"/>
        <color rgb="FF000000"/>
        <rFont val="-webkit-standard"/>
      </rPr>
      <t>, </t>
    </r>
    <r>
      <rPr>
        <i/>
        <sz val="11"/>
        <color rgb="FF000000"/>
        <rFont val="Calibri"/>
        <family val="2"/>
        <scheme val="minor"/>
      </rPr>
      <t>avec elle</t>
    </r>
    <r>
      <rPr>
        <sz val="14"/>
        <color rgb="FF000000"/>
        <rFont val="-webkit-standard"/>
      </rPr>
      <t>); Unsicherheit zeigte sich vor allem bei festen Wendungen mit </t>
    </r>
    <r>
      <rPr>
        <i/>
        <sz val="11"/>
        <color rgb="FF000000"/>
        <rFont val="Calibri"/>
        <family val="2"/>
        <scheme val="minor"/>
      </rPr>
      <t>chez</t>
    </r>
    <r>
      <rPr>
        <sz val="14"/>
        <color rgb="FF000000"/>
        <rFont val="-webkit-standard"/>
      </rPr>
      <t> (z.B. zunächst </t>
    </r>
    <r>
      <rPr>
        <i/>
        <sz val="11"/>
        <color rgb="FF000000"/>
        <rFont val="Calibri"/>
        <family val="2"/>
        <scheme val="minor"/>
      </rPr>
      <t>à elle maison</t>
    </r>
    <r>
      <rPr>
        <sz val="14"/>
        <color rgb="FF000000"/>
        <rFont val="-webkit-standard"/>
      </rPr>
      <t> statt </t>
    </r>
    <r>
      <rPr>
        <i/>
        <sz val="11"/>
        <color rgb="FF000000"/>
        <rFont val="Calibri"/>
        <family val="2"/>
        <scheme val="minor"/>
      </rPr>
      <t>chez elle</t>
    </r>
    <r>
      <rPr>
        <sz val="14"/>
        <color rgb="FF000000"/>
        <rFont val="-webkit-standard"/>
      </rPr>
      <t>). Konzept im Prinzip verstanden, gelegentliche Interferenz mit wörtlicher deutscher Struktur („zu ihr Haus“) bleibt.</t>
    </r>
  </si>
  <si>
    <r>
      <t>Der zeitliche Gebrauch (Vorphänomen in der Vergangenheit) ist verstanden, aber bei der Bildung gab es wiederholt Probleme mit der Wahl des Hilfsverbs (</t>
    </r>
    <r>
      <rPr>
        <i/>
        <sz val="11"/>
        <color rgb="FF000000"/>
        <rFont val="Calibri"/>
        <family val="2"/>
        <scheme val="minor"/>
      </rPr>
      <t>avoir</t>
    </r>
    <r>
      <rPr>
        <sz val="14"/>
        <color rgb="FF000000"/>
        <rFont val="-webkit-standard"/>
      </rPr>
      <t> vs. </t>
    </r>
    <r>
      <rPr>
        <i/>
        <sz val="11"/>
        <color rgb="FF000000"/>
        <rFont val="Calibri"/>
        <family val="2"/>
        <scheme val="minor"/>
      </rPr>
      <t>être</t>
    </r>
    <r>
      <rPr>
        <sz val="14"/>
        <color rgb="FF000000"/>
        <rFont val="-webkit-standard"/>
      </rPr>
      <t>) und mit Partizipformen (z.B. </t>
    </r>
    <r>
      <rPr>
        <i/>
        <sz val="11"/>
        <color rgb="FF000000"/>
        <rFont val="Calibri"/>
        <family val="2"/>
        <scheme val="minor"/>
      </rPr>
      <t>avions parti</t>
    </r>
    <r>
      <rPr>
        <sz val="14"/>
        <color rgb="FF000000"/>
        <rFont val="-webkit-standard"/>
      </rPr>
      <t>, </t>
    </r>
    <r>
      <rPr>
        <i/>
        <sz val="11"/>
        <color rgb="FF000000"/>
        <rFont val="Calibri"/>
        <family val="2"/>
        <scheme val="minor"/>
      </rPr>
      <t>avait meurt</t>
    </r>
    <r>
      <rPr>
        <sz val="14"/>
        <color rgb="FF000000"/>
        <rFont val="-webkit-standard"/>
      </rPr>
      <t> statt </t>
    </r>
    <r>
      <rPr>
        <i/>
        <sz val="11"/>
        <color rgb="FF000000"/>
        <rFont val="Calibri"/>
        <family val="2"/>
        <scheme val="minor"/>
      </rPr>
      <t>étions partis</t>
    </r>
    <r>
      <rPr>
        <sz val="14"/>
        <color rgb="FF000000"/>
        <rFont val="-webkit-standard"/>
      </rPr>
      <t>, </t>
    </r>
    <r>
      <rPr>
        <i/>
        <sz val="11"/>
        <color rgb="FF000000"/>
        <rFont val="Calibri"/>
        <family val="2"/>
        <scheme val="minor"/>
      </rPr>
      <t>était morte</t>
    </r>
    <r>
      <rPr>
        <sz val="14"/>
        <color rgb="FF000000"/>
        <rFont val="-webkit-standard"/>
      </rPr>
      <t>). Auch die Einbindung von Adverbien (</t>
    </r>
    <r>
      <rPr>
        <i/>
        <sz val="11"/>
        <color rgb="FF000000"/>
        <rFont val="Calibri"/>
        <family val="2"/>
        <scheme val="minor"/>
      </rPr>
      <t>déjà</t>
    </r>
    <r>
      <rPr>
        <sz val="14"/>
        <color rgb="FF000000"/>
        <rFont val="-webkit-standard"/>
      </rPr>
      <t>) ins Plus-que-parfait klappt meist, formale Details brauchen jedoch noch</t>
    </r>
  </si>
  <si>
    <t>Die Grundstruktur (si + plus-que-parfait → conditionnel passé) wird korrekt gebildet und produktiv verwendet (Si j’avais su…, je t’aurais…), inklusive freier Formulierungen. Schwächen zeigen sich bei Verben mit être im Plus-que-parfait sowie gelegentlich bei der Folgewirkung (z.B. Mischung aus irreale Vergangenheit und Gegenwart: Si j’avais eu…, maintenant je ne suis pas seul statt je ne serais pas seul).</t>
  </si>
  <si>
    <r>
      <t>Das Grundprinzip ist erkannt (Subjekt = </t>
    </r>
    <r>
      <rPr>
        <i/>
        <sz val="11"/>
        <color rgb="FF000000"/>
        <rFont val="Calibri"/>
        <family val="2"/>
        <scheme val="minor"/>
      </rPr>
      <t>ce qui</t>
    </r>
    <r>
      <rPr>
        <sz val="14"/>
        <color rgb="FF000000"/>
        <rFont val="-webkit-standard"/>
      </rPr>
      <t>, Objekt = </t>
    </r>
    <r>
      <rPr>
        <i/>
        <sz val="11"/>
        <color rgb="FF000000"/>
        <rFont val="Calibri"/>
        <family val="2"/>
        <scheme val="minor"/>
      </rPr>
      <t>ce que</t>
    </r>
    <r>
      <rPr>
        <sz val="14"/>
        <color rgb="FF000000"/>
        <rFont val="-webkit-standard"/>
      </rPr>
      <t>, Ergänzung mit </t>
    </r>
    <r>
      <rPr>
        <i/>
        <sz val="11"/>
        <color rgb="FF000000"/>
        <rFont val="Calibri"/>
        <family val="2"/>
        <scheme val="minor"/>
      </rPr>
      <t>de</t>
    </r>
    <r>
      <rPr>
        <sz val="14"/>
        <color rgb="FF000000"/>
        <rFont val="-webkit-standard"/>
      </rPr>
      <t> = </t>
    </r>
    <r>
      <rPr>
        <i/>
        <sz val="11"/>
        <color rgb="FF000000"/>
        <rFont val="Calibri"/>
        <family val="2"/>
        <scheme val="minor"/>
      </rPr>
      <t>ce dont</t>
    </r>
    <r>
      <rPr>
        <sz val="14"/>
        <color rgb="FF000000"/>
        <rFont val="-webkit-standard"/>
      </rPr>
      <t>), und bei Verben mit </t>
    </r>
    <r>
      <rPr>
        <i/>
        <sz val="11"/>
        <color rgb="FF000000"/>
        <rFont val="Calibri"/>
        <family val="2"/>
        <scheme val="minor"/>
      </rPr>
      <t>de</t>
    </r>
    <r>
      <rPr>
        <sz val="14"/>
        <color rgb="FF000000"/>
        <rFont val="-webkit-standard"/>
      </rPr>
      <t>(</t>
    </r>
    <r>
      <rPr>
        <i/>
        <sz val="11"/>
        <color rgb="FF000000"/>
        <rFont val="Calibri"/>
        <family val="2"/>
        <scheme val="minor"/>
      </rPr>
      <t>avoir besoin de</t>
    </r>
    <r>
      <rPr>
        <sz val="14"/>
        <color rgb="FF000000"/>
        <rFont val="-webkit-standard"/>
      </rPr>
      <t>, </t>
    </r>
    <r>
      <rPr>
        <i/>
        <sz val="11"/>
        <color rgb="FF000000"/>
        <rFont val="Calibri"/>
        <family val="2"/>
        <scheme val="minor"/>
      </rPr>
      <t>rêver de</t>
    </r>
    <r>
      <rPr>
        <sz val="14"/>
        <color rgb="FF000000"/>
        <rFont val="-webkit-standard"/>
      </rPr>
      <t>) wurde </t>
    </r>
    <r>
      <rPr>
        <i/>
        <sz val="11"/>
        <color rgb="FF000000"/>
        <rFont val="Calibri"/>
        <family val="2"/>
        <scheme val="minor"/>
      </rPr>
      <t>ce dont</t>
    </r>
    <r>
      <rPr>
        <sz val="14"/>
        <color rgb="FF000000"/>
        <rFont val="-webkit-standard"/>
      </rPr>
      <t> meist richtig eingesetzt. Verwechslungsgefahr besteht weiterhin zwischen </t>
    </r>
    <r>
      <rPr>
        <i/>
        <sz val="11"/>
        <color rgb="FF000000"/>
        <rFont val="Calibri"/>
        <family val="2"/>
        <scheme val="minor"/>
      </rPr>
      <t>ce qui</t>
    </r>
    <r>
      <rPr>
        <sz val="14"/>
        <color rgb="FF000000"/>
        <rFont val="-webkit-standard"/>
      </rPr>
      <t>und </t>
    </r>
    <r>
      <rPr>
        <i/>
        <sz val="11"/>
        <color rgb="FF000000"/>
        <rFont val="Calibri"/>
        <family val="2"/>
        <scheme val="minor"/>
      </rPr>
      <t>ce que</t>
    </r>
    <r>
      <rPr>
        <sz val="14"/>
        <color rgb="FF000000"/>
        <rFont val="-webkit-standard"/>
      </rPr>
      <t> in Subjekt-/Objektfunktion sowie bei der Einbettung in vollständige Sätze (z.B. abgebrochenes </t>
    </r>
    <r>
      <rPr>
        <i/>
        <sz val="11"/>
        <color rgb="FF000000"/>
        <rFont val="Calibri"/>
        <family val="2"/>
        <scheme val="minor"/>
      </rPr>
      <t>Ce que, je ne pourrai plus changer</t>
    </r>
    <r>
      <rPr>
        <sz val="14"/>
        <color rgb="FF000000"/>
        <rFont val="-webkit-standard"/>
      </rPr>
      <t>).</t>
    </r>
  </si>
  <si>
    <r>
      <t>Verwechslung von </t>
    </r>
    <r>
      <rPr>
        <b/>
        <sz val="11"/>
        <color rgb="FF000000"/>
        <rFont val="Calibri"/>
        <family val="2"/>
        <scheme val="minor"/>
      </rPr>
      <t>le</t>
    </r>
    <r>
      <rPr>
        <sz val="14"/>
        <color rgb="FF000000"/>
        <rFont val="-webkit-standard"/>
      </rPr>
      <t> (am) mit </t>
    </r>
    <r>
      <rPr>
        <b/>
        <sz val="11"/>
        <color rgb="FF000000"/>
        <rFont val="Calibri"/>
        <family val="2"/>
        <scheme val="minor"/>
      </rPr>
      <t>jusqu’à</t>
    </r>
    <r>
      <rPr>
        <sz val="14"/>
        <color rgb="FF000000"/>
        <rFont val="-webkit-standard"/>
      </rPr>
      <t> (bis) und Unsicherheiten bei Zeiträumen (</t>
    </r>
    <r>
      <rPr>
        <b/>
        <sz val="11"/>
        <color rgb="FF000000"/>
        <rFont val="Calibri"/>
        <family val="2"/>
        <scheme val="minor"/>
      </rPr>
      <t>de … à …</t>
    </r>
    <r>
      <rPr>
        <sz val="14"/>
        <color rgb="FF000000"/>
        <rFont val="-webkit-standard"/>
      </rPr>
      <t>); Klein­schreibung von Monaten/Wochentagen teils übersehen. ///  2.wdh:Grundmuster (le + Datum/Wochentag, depuis, de … à …) sind überwiegend sicher. Bei Zeiträumen mit Daten wird du … au noch nicht automatisiert verwendet und bei Uhrzeiten erscheint gelegentlich jusqu’à anstelle des neutraleren à/de … à ….</t>
    </r>
  </si>
  <si>
    <r>
      <t>Anfangs Fehler </t>
    </r>
    <r>
      <rPr>
        <i/>
        <sz val="11"/>
        <color rgb="FF000000"/>
        <rFont val="Calibri"/>
        <family val="2"/>
        <scheme val="minor"/>
      </rPr>
      <t>si + conditionnel</t>
    </r>
    <r>
      <rPr>
        <sz val="14"/>
        <color rgb="FF000000"/>
        <rFont val="-webkit-standard"/>
      </rPr>
      <t> statt </t>
    </r>
    <r>
      <rPr>
        <b/>
        <sz val="11"/>
        <color rgb="FF000000"/>
        <rFont val="Calibri"/>
        <family val="2"/>
        <scheme val="minor"/>
      </rPr>
      <t>si + imparfait → conditionnel</t>
    </r>
    <r>
      <rPr>
        <sz val="14"/>
        <color rgb="FF000000"/>
        <rFont val="-webkit-standard"/>
      </rPr>
      <t>, später korrekt angewendet; Umfeld-Kollokationen (z. B. </t>
    </r>
    <r>
      <rPr>
        <i/>
        <sz val="11"/>
        <color rgb="FF000000"/>
        <rFont val="Calibri"/>
        <family val="2"/>
        <scheme val="minor"/>
      </rPr>
      <t>plus de places</t>
    </r>
    <r>
      <rPr>
        <sz val="14"/>
        <color rgb="FF000000"/>
        <rFont val="-webkit-standard"/>
      </rPr>
      <t> statt </t>
    </r>
    <r>
      <rPr>
        <i/>
        <sz val="11"/>
        <color rgb="FF000000"/>
        <rFont val="Calibri"/>
        <family val="2"/>
        <scheme val="minor"/>
      </rPr>
      <t>plusieurs de places</t>
    </r>
    <r>
      <rPr>
        <sz val="14"/>
        <color rgb="FF000000"/>
        <rFont val="-webkit-standard"/>
      </rPr>
      <t>) noch fehleranfällig. /// 2.wdh:Die Struktur si + Imparfait → Conditionnel ist sicher und wird auch spontan korrekt angewendet; Fehler wie Si j’aurais… treten nicht mehr auf. Kleinere Unsicherheiten betreffen Details wie Elision (j’habiterais) und die breitere Verwendung des Conditionnel für Vermutungen im Präsens.</t>
    </r>
  </si>
  <si>
    <r>
      <t>dont</t>
    </r>
    <r>
      <rPr>
        <sz val="14"/>
        <color rgb="FF000000"/>
        <rFont val="-webkit-standard"/>
      </rPr>
      <t> nach Verben/Ausdrücken mit </t>
    </r>
    <r>
      <rPr>
        <b/>
        <sz val="11"/>
        <color rgb="FF000000"/>
        <rFont val="Calibri"/>
        <family val="2"/>
        <scheme val="minor"/>
      </rPr>
      <t>de</t>
    </r>
    <r>
      <rPr>
        <sz val="14"/>
        <color rgb="FF000000"/>
        <rFont val="-webkit-standard"/>
      </rPr>
      <t> meist korrekt; Unsicherheit bei </t>
    </r>
    <r>
      <rPr>
        <b/>
        <sz val="11"/>
        <color rgb="FF000000"/>
        <rFont val="Calibri"/>
        <family val="2"/>
        <scheme val="minor"/>
      </rPr>
      <t>ce dont</t>
    </r>
    <r>
      <rPr>
        <sz val="14"/>
        <color rgb="FF000000"/>
        <rFont val="-webkit-standard"/>
      </rPr>
      <t> vs. </t>
    </r>
    <r>
      <rPr>
        <b/>
        <sz val="11"/>
        <color rgb="FF000000"/>
        <rFont val="Calibri"/>
        <family val="2"/>
        <scheme val="minor"/>
      </rPr>
      <t>ce que/ce qui</t>
    </r>
    <r>
      <rPr>
        <sz val="14"/>
        <color rgb="FF000000"/>
        <rFont val="-webkit-standard"/>
      </rPr>
      <t> (Dopplung </t>
    </r>
    <r>
      <rPr>
        <i/>
        <sz val="11"/>
        <color rgb="FF000000"/>
        <rFont val="Calibri"/>
        <family val="2"/>
        <scheme val="minor"/>
      </rPr>
      <t>dont … de</t>
    </r>
    <r>
      <rPr>
        <sz val="14"/>
        <color rgb="FF000000"/>
        <rFont val="-webkit-standard"/>
      </rPr>
      <t>vermeiden; „de-Test“ nutzen). Interferenz mit Verben ohne </t>
    </r>
    <r>
      <rPr>
        <b/>
        <sz val="11"/>
        <color rgb="FF000000"/>
        <rFont val="Calibri"/>
        <family val="2"/>
        <scheme val="minor"/>
      </rPr>
      <t>de</t>
    </r>
    <r>
      <rPr>
        <sz val="14"/>
        <color rgb="FF000000"/>
        <rFont val="-webkit-standard"/>
      </rPr>
      <t> (</t>
    </r>
    <r>
      <rPr>
        <i/>
        <sz val="11"/>
        <color rgb="FF000000"/>
        <rFont val="Calibri"/>
        <family val="2"/>
        <scheme val="minor"/>
      </rPr>
      <t>raconter</t>
    </r>
    <r>
      <rPr>
        <sz val="14"/>
        <color rgb="FF000000"/>
        <rFont val="-webkit-standard"/>
      </rPr>
      <t> → </t>
    </r>
    <r>
      <rPr>
        <b/>
        <sz val="11"/>
        <color rgb="FF000000"/>
        <rFont val="Calibri"/>
        <family val="2"/>
        <scheme val="minor"/>
      </rPr>
      <t>ce que</t>
    </r>
    <r>
      <rPr>
        <sz val="14"/>
        <color rgb="FF000000"/>
        <rFont val="-webkit-standard"/>
      </rPr>
      <t>, nicht </t>
    </r>
    <r>
      <rPr>
        <b/>
        <sz val="11"/>
        <color rgb="FF000000"/>
        <rFont val="Calibri"/>
        <family val="2"/>
        <scheme val="minor"/>
      </rPr>
      <t>dont</t>
    </r>
    <r>
      <rPr>
        <sz val="14"/>
        <color rgb="FF000000"/>
        <rFont val="-webkit-standard"/>
      </rPr>
      <t>).</t>
    </r>
    <r>
      <rPr>
        <b/>
        <sz val="11"/>
        <color rgb="FF000000"/>
        <rFont val="Calibri"/>
        <family val="2"/>
        <scheme val="minor"/>
      </rPr>
      <t xml:space="preserve"> /// 2.wdh:Die Funktion von dont nach Verben mit de ist grundsätzlich verstanden, jedoch kommt es in der freien Produktion noch zu Verwechslungen zwischen dont/ce dont und ce que (z.B. mit raconter, dire) sowie zu überflüssigem de. Der „de-Test“ wird nicht immer zuverlässig angewendet, besonders wenn bereits ein Bezugsnomen vorhanden ist.</t>
    </r>
  </si>
  <si>
    <r>
      <t>Nach Mengenwörtern fehlt häufig </t>
    </r>
    <r>
      <rPr>
        <b/>
        <sz val="11"/>
        <color rgb="FF000000"/>
        <rFont val="Calibri"/>
        <family val="2"/>
        <scheme val="minor"/>
      </rPr>
      <t>de</t>
    </r>
    <r>
      <rPr>
        <sz val="14"/>
        <color rgb="FF000000"/>
        <rFont val="-webkit-standard"/>
      </rPr>
      <t> (</t>
    </r>
    <r>
      <rPr>
        <i/>
        <sz val="11"/>
        <color rgb="FF000000"/>
        <rFont val="Calibri"/>
        <family val="2"/>
        <scheme val="minor"/>
      </rPr>
      <t>beaucoup de, plusieurs + Nomen</t>
    </r>
    <r>
      <rPr>
        <sz val="14"/>
        <color rgb="FF000000"/>
        <rFont val="-webkit-standard"/>
      </rPr>
      <t>), </t>
    </r>
    <r>
      <rPr>
        <i/>
        <sz val="11"/>
        <color rgb="FF000000"/>
        <rFont val="Calibri"/>
        <family val="2"/>
        <scheme val="minor"/>
      </rPr>
      <t>la plupart des</t>
    </r>
    <r>
      <rPr>
        <sz val="14"/>
        <color rgb="FF000000"/>
        <rFont val="-webkit-standard"/>
      </rPr>
      <t> wurde teils falsch gebildet; Unsicherheit bei </t>
    </r>
    <r>
      <rPr>
        <i/>
        <sz val="11"/>
        <color rgb="FF000000"/>
        <rFont val="Calibri"/>
        <family val="2"/>
        <scheme val="minor"/>
      </rPr>
      <t>aucun(e)… ne</t>
    </r>
    <r>
      <rPr>
        <sz val="14"/>
        <color rgb="FF000000"/>
        <rFont val="-webkit-standard"/>
      </rPr>
      <t> und bei Genus (</t>
    </r>
    <r>
      <rPr>
        <i/>
        <sz val="11"/>
        <color rgb="FF000000"/>
        <rFont val="Calibri"/>
        <family val="2"/>
        <scheme val="minor"/>
      </rPr>
      <t>certains/certaines</t>
    </r>
    <r>
      <rPr>
        <sz val="14"/>
        <color rgb="FF000000"/>
        <rFont val="-webkit-standard"/>
      </rPr>
      <t>)./// 2.wdh:Strukturen wie beaucoup de, plusieurs, aucun(e)… ne, certains/certaines und die Kombination mit en werden meist korrekt verwendet. Gelegentliche Verwechslungen gibt es zwischen la plupart des und plusieurs sowie vereinzelt bei Nuancen in Zeitangaben (z.B. ans vs. années).</t>
    </r>
  </si>
  <si>
    <r>
      <t>Grundprinzip (Hintergrund vs. Ereignis) ist verstanden, aber es gibt noch Unsicherheiten bei der Wahl von Imparfait vs. Passé composé (z.B. Hintergrundhandlungen, unterbrechende Aktionen) sowie bei der Angleichung/Verbwahl mit Bewegungsverben (être/accord bei </t>
    </r>
    <r>
      <rPr>
        <i/>
        <sz val="11"/>
        <color rgb="FF000000"/>
        <rFont val="Calibri"/>
        <family val="2"/>
        <scheme val="minor"/>
      </rPr>
      <t>sortir</t>
    </r>
    <r>
      <rPr>
        <sz val="14"/>
        <color rgb="FF000000"/>
        <rFont val="-webkit-standard"/>
      </rPr>
      <t>)./// 2.wdh:Der Kontrast Hintergrund (Imparfait) vs. Ereignis (Passé composé) ist gut verankert und typische Kombinationen (Imparfait + soudain + Passé composé) werden korrekt gebildet. In längeren Erzählungen ist die Wahl zwischen andauernder Handlung und abgeschlossener Aktion (z.B. nous allions vs. nous y sommes allés) noch nicht vollständig automatisiert.</t>
    </r>
  </si>
  <si>
    <r>
      <t>y/en werden teils korrekt verwendet, aber häufig verwechselt (</t>
    </r>
    <r>
      <rPr>
        <i/>
        <sz val="11"/>
        <color rgb="FF000000"/>
        <rFont val="Calibri"/>
        <family val="2"/>
        <scheme val="minor"/>
      </rPr>
      <t>penser à</t>
    </r>
    <r>
      <rPr>
        <sz val="14"/>
        <color rgb="FF000000"/>
        <rFont val="-webkit-standard"/>
      </rPr>
      <t> → y, nicht en) und die Stellung in der Verneinung und vor dem Verb ist noch unsicher (</t>
    </r>
    <r>
      <rPr>
        <i/>
        <sz val="11"/>
        <color rgb="FF000000"/>
        <rFont val="Calibri"/>
        <family val="2"/>
        <scheme val="minor"/>
      </rPr>
      <t>je n’y vais plus</t>
    </r>
    <r>
      <rPr>
        <sz val="14"/>
        <color rgb="FF000000"/>
        <rFont val="-webkit-standard"/>
      </rPr>
      <t>, </t>
    </r>
    <r>
      <rPr>
        <i/>
        <sz val="11"/>
        <color rgb="FF000000"/>
        <rFont val="Calibri"/>
        <family val="2"/>
        <scheme val="minor"/>
      </rPr>
      <t>je n’y pense plus</t>
    </r>
    <r>
      <rPr>
        <sz val="14"/>
        <color rgb="FF000000"/>
        <rFont val="-webkit-standard"/>
      </rPr>
      <t>); auch die Anbindung an natürlichere Verben (</t>
    </r>
    <r>
      <rPr>
        <i/>
        <sz val="11"/>
        <color rgb="FF000000"/>
        <rFont val="Calibri"/>
        <family val="2"/>
        <scheme val="minor"/>
      </rPr>
      <t>entendu parler de</t>
    </r>
    <r>
      <rPr>
        <sz val="14"/>
        <color rgb="FF000000"/>
        <rFont val="-webkit-standard"/>
      </rPr>
      <t>, nicht </t>
    </r>
    <r>
      <rPr>
        <i/>
        <sz val="11"/>
        <color rgb="FF000000"/>
        <rFont val="Calibri"/>
        <family val="2"/>
        <scheme val="minor"/>
      </rPr>
      <t>écouté</t>
    </r>
    <r>
      <rPr>
        <sz val="14"/>
        <color rgb="FF000000"/>
        <rFont val="-webkit-standard"/>
      </rPr>
      <t>) ist noch wacklig./// 2.wdh:In strukturierten Übungen werden y und en korrekt unterschieden (penser à → y, parler de → en) und ihre Stellung in der Verneinung stimmt. In freier Produktion gibt es noch Unsicherheiten bei der Kombination mit anderen Pronomen und bei der Wahl zwischen y und einem direkten Objektpronomen (z.B. Je l’ai saluée statt J’y ai elle salué).</t>
    </r>
  </si>
  <si>
    <t>Session 7</t>
  </si>
  <si>
    <t>🎉 Bilan de la session
Tu as fait d'énormes progrès aujourd'hui !
✅ Causatif (Faire + Infinitif) : C'est acquis. La phrase "J'ai fait bloquer ma carte par la réceptionniste" était parfaite grammaticalement.
✅ Discours Indirect : Excellent usage de "de ne pas m'énerver".
✅ Temps du passé : La distinction Imparfait (faisait/reposais) et Passé Composé (a dérobé) est claire.
⚠️ À surveiller : Les petits mots de liaison (connecteurs) et les prépositions de temps (en/dans) demandent encore un peu de vigilance.</t>
  </si>
  <si>
    <t>„depuis“ und „il y a“ werden überwiegend korrekt verwendet, aber es gibt noch Verwechslungen bei Dauerangaben mit „en“ vs. „pendant“ und der Stellung von Zeitangaben im Satz; einzelne Strukturfehler (z.B. „besoin en“) traten mehrfach auf. /// 1. wdh: Grundsätzliche Unterscheidung sitzt besser, aber noch Unsicherheiten bei „en“ (Dauer) vs. „dans“ (Frist/Zukunft), z.B. bei Deadline-Angaben („arriver dans eine heure“). Fehler bei Zeitangaben ohne Präposition (falsch: „dans le mercredi“ statt „mercredi prochain“).</t>
  </si>
  <si>
    <t>Grundunterschied en (Dauer, Länder, Verkehrsmittel) vs. dans (konkreter Raum, Beginn in der Zukunft) ist verstanden, aber in Details noch unsicher, v.a. bei Zeitangaben („en“ vs. „dans“ vs. „pendant“) und bei festen Wendungen wie „dans notre ville“ / „le week-end“. Fehler tauchen wiederholt, aber mit klarer Tendenz zur Besserung auf. /// 1. wdh:Tendenz ist gut. Fehler bei Verkehrsmitteln ohne Artikel („par train“ statt „en train“). Ort („à Paris“) sitzt sicher. Unterscheidung benötigt noch etwas Aufmerksamkeit im schnellen Schreibfluss.</t>
  </si>
  <si>
    <t>Exzellente Anwendung. Sowohl in Lückentexten als auch im freien Text („faisait beau“ vs. „a dérobé“) wurde die Logik intuitiv richtig angewendet. Nur reflexive Verben (sich ausruhen) wurden dabei teils vergessen, die Zeitform war aber korrekt.</t>
  </si>
  <si>
    <t>Konstruktionen sind bekannt und werden gebildet. Hauptfehler lag in der Zeitenfolge (Concordance): Verwendung von „je suis en train de“ (Präsens) in einem Satz, der Vergangenheit erfordert („j’étais en train de“).</t>
  </si>
  <si>
    <t>Starke Lernkurve in der Session. Anfangs Wortstellungsfehler (Subjekt zwischen den Verben), dann aber selbst komplexe Pronomenstellung („Je la lui fais lire“) fehlerfrei gelöst. Konstruktion mit „par“ (Täter) im Abschlusstext korrekt.</t>
  </si>
  <si>
    <t>Der schwierige Zeitenwechsel (Backshift) und die Anpassung von Zeitadverbien („demain“ → „le lendemain“) gelangen hervorragend. Lücke besteht noch beim Imperativ in der indirekten Rede (Transformation zu „de + Infinitiv“ fehlte).</t>
  </si>
  <si>
    <r>
      <t>Die Struktur (si + plus-que-parfait → conditionnel passé / gemischt mit conditionnel présent) ist verstanden und oft korrekt umgesetzt. Wiederkehrende Probleme sind die Bildung des plus-que-parfait von „être“ (</t>
    </r>
    <r>
      <rPr>
        <i/>
        <sz val="11"/>
        <color rgb="FF000000"/>
        <rFont val="Calibri"/>
        <family val="2"/>
        <scheme val="minor"/>
      </rPr>
      <t>avais été</t>
    </r>
    <r>
      <rPr>
        <sz val="14"/>
        <color rgb="FF000000"/>
        <rFont val="-webkit-standard"/>
      </rPr>
      <t>), Verwechslung von Futur und Conditionnel sowie die Stellung der Verneinung und gelegentliches Vertauschen der Subjekte. /// 1. WDH: Struktur meist korrekt erkannt; wiederkehrende Fehler bei gemischten Perioden (statt conditionnel présent oft conditionnel passé oder Mischformen), Probleme bei der Verneinung (Position von « ne … pas ») und gelegentlich fehlende Angleichung im conditionnel passé.</t>
    </r>
  </si>
  <si>
    <r>
      <t>Grundidee ist da, aber häufig werden die Formen mit Begleitern wie </t>
    </r>
    <r>
      <rPr>
        <i/>
        <sz val="11"/>
        <color rgb="FF000000"/>
        <rFont val="Calibri"/>
        <family val="2"/>
        <scheme val="minor"/>
      </rPr>
      <t>ce/cette</t>
    </r>
    <r>
      <rPr>
        <sz val="14"/>
        <color rgb="FF000000"/>
        <rFont val="-webkit-standard"/>
      </rPr>
      <t> vermischt oder in falschem Genus/ohne klaren Bezug verwendet (</t>
    </r>
    <r>
      <rPr>
        <i/>
        <sz val="11"/>
        <color rgb="FF000000"/>
        <rFont val="Calibri"/>
        <family val="2"/>
        <scheme val="minor"/>
      </rPr>
      <t>celui livre</t>
    </r>
    <r>
      <rPr>
        <sz val="14"/>
        <color rgb="FF000000"/>
        <rFont val="-webkit-standard"/>
      </rPr>
      <t>, </t>
    </r>
    <r>
      <rPr>
        <i/>
        <sz val="11"/>
        <color rgb="FF000000"/>
        <rFont val="Calibri"/>
        <family val="2"/>
        <scheme val="minor"/>
      </rPr>
      <t>celui</t>
    </r>
    <r>
      <rPr>
        <sz val="14"/>
        <color rgb="FF000000"/>
        <rFont val="-webkit-standard"/>
      </rPr>
      <t> für </t>
    </r>
    <r>
      <rPr>
        <i/>
        <sz val="11"/>
        <color rgb="FF000000"/>
        <rFont val="Calibri"/>
        <family val="2"/>
        <scheme val="minor"/>
      </rPr>
      <t>recette</t>
    </r>
    <r>
      <rPr>
        <sz val="14"/>
        <color rgb="FF000000"/>
        <rFont val="-webkit-standard"/>
      </rPr>
      <t>); der Unterschied „Pronomen ersetzt das Nomen vollständig“ ist noch nicht stabil verinnerlicht. //// 1. WDH: Grundidee ist klar, aber es kommt zu Verwechslungen zwischen „ce/cette“ und „celui/celle“ und zu falscher Verwendung von „celui“ ohne klaren Bezug. Genus/Zahl sind noch nicht völlig stabil (z.B. „ceux“ statt „celui“, „celui“ statt „celles“) und gelegentlich wird „ceux“ anstelle des COD-Pronomens „les“ benutzt. /// 2. WDH: Teilweise richtige Wahl (ceux, celle), aber noch deutliche Verwechslung von Pronomen und Begleitern (ce/cette/ces), falsche Zuordnung von Genus/Zahl und unsicherer Bezug (« ceux » für feminine Referenten, unklare Referenz auf „rapports officiels“).</t>
    </r>
  </si>
  <si>
    <t>Formen von plus-que-parfait und futur antérieur im Prinzip beherrscht, aber unsichere Tempuswahl: häufiger Einsatz von imparfait oder présent, wo plus-que-parfait bzw. futur antérieur nötig wären; Muster « quand + futur antérieur / futur simple » noch nicht stabil automatisiert.</t>
  </si>
  <si>
    <t>Sehr gute Anwendung von Subjonctif nach « avant que », « bien que », « pour que » in Phase 2.1; in komplexeren Sätzen nur kleine Unsicherheiten (ne explétif, identische Formen wie Indicatif), insgesamt aber klares Regelverständnis.</t>
  </si>
  <si>
    <t>Systematische Unsicherheit bei der Angleichung: fehlende Kongruenz bei être (réparées), keine Angleichung bei avoir + vorangestelltem COD (distribuées, écrites) sowie gelegentliche Über-Angleichung (lue statt lu); Regel noch nicht verinnerlicht.</t>
  </si>
  <si>
    <t>Struktur « la plupart de(s) + Nomen pluriel » und « la plupart du temps » weitgehend sicher, Verb steht korrekt im Plural; kleinere Punkte bei Zeitwahl und einmal unvollständiger Satz, insgesamt aber stabiles Verständnis.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</si>
</sst>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name val="Calibri"/>
      <family val="2"/>
    </font>
    <font>
      <b/>
      <sz val="11"/>
      <color rgb="FFFFFFFF"/>
      <name val="Calibri"/>
      <family val="2"/>
    </font>
    <font>
      <b/>
      <sz val="16"/>
      <color rgb="FFFFFFFF"/>
      <name val="Calibri"/>
      <family val="2"/>
    </font>
    <font>
      <b/>
      <sz val="14"/>
      <name val="Calibri"/>
      <family val="2"/>
    </font>
    <font>
      <sz val="12"/>
      <name val="Calibri"/>
      <family val="2"/>
    </font>
    <font>
      <b/>
      <sz val="12"/>
      <name val="Calibri"/>
      <family val="2"/>
    </font>
    <font>
      <sz val="11"/>
      <name val="Calibri"/>
      <family val="2"/>
    </font>
    <font>
      <sz val="10"/>
      <name val="Calibri"/>
      <family val="2"/>
    </font>
    <font>
      <sz val="14"/>
      <color rgb="FF000000"/>
      <name val="-webkit-standard"/>
    </font>
    <font>
      <i/>
      <sz val="11"/>
      <color rgb="FF000000"/>
      <name val="Calibri"/>
      <family val="2"/>
      <scheme val="minor"/>
    </font>
    <font>
      <b/>
      <sz val="11"/>
      <color rgb="FF000000"/>
      <name val="Calibri"/>
      <family val="2"/>
      <scheme val="minor"/>
    </font>
    <font>
      <sz val="11"/>
      <color rgb="FF000000"/>
      <name val="Calibri"/>
      <family val="2"/>
      <scheme val="minor"/>
    </font>
    <font>
      <b/>
      <sz val="14"/>
      <color theme="1"/>
      <name val="Calibri"/>
      <family val="2"/>
      <scheme val="minor"/>
    </font>
    <font>
      <sz val="8"/>
      <name val="Calibri"/>
      <family val="2"/>
      <scheme val="minor"/>
    </font>
  </fonts>
  <fills count="12">
    <fill>
      <patternFill patternType="none"/>
    </fill>
    <fill>
      <patternFill patternType="gray125"/>
    </fill>
    <fill>
      <patternFill patternType="solid">
        <fgColor rgb="FF4472C4"/>
        <bgColor rgb="FF4472C4"/>
      </patternFill>
    </fill>
    <fill>
      <patternFill patternType="solid">
        <fgColor rgb="FFE7E7E7"/>
        <bgColor rgb="FFE7E7E7"/>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92D050"/>
        <bgColor rgb="FF92D050"/>
      </patternFill>
    </fill>
    <fill>
      <patternFill patternType="solid">
        <fgColor rgb="FFD9E1F2"/>
        <bgColor rgb="FFD9E1F2"/>
      </patternFill>
    </fill>
    <fill>
      <patternFill patternType="solid">
        <fgColor rgb="FFFFD966"/>
        <bgColor rgb="FFFFD966"/>
      </patternFill>
    </fill>
    <fill>
      <patternFill patternType="solid">
        <fgColor rgb="FFE7E6E6"/>
        <bgColor rgb="FFE7E6E6"/>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s>
  <cellStyleXfs count="1">
    <xf numFmtId="0" fontId="0" fillId="0" borderId="0"/>
  </cellStyleXfs>
  <cellXfs count="34">
    <xf numFmtId="0" fontId="0" fillId="0" borderId="0" xfId="0"/>
    <xf numFmtId="0" fontId="2" fillId="2" borderId="1" xfId="0" applyFont="1" applyFill="1" applyBorder="1" applyAlignment="1">
      <alignment horizontal="center" vertical="center" wrapText="1"/>
    </xf>
    <xf numFmtId="0" fontId="0" fillId="0" borderId="2" xfId="0" applyBorder="1" applyAlignment="1">
      <alignment vertical="center"/>
    </xf>
    <xf numFmtId="0" fontId="0" fillId="0" borderId="2" xfId="0" applyBorder="1" applyAlignment="1">
      <alignment horizontal="center" vertical="center"/>
    </xf>
    <xf numFmtId="0" fontId="4" fillId="0" borderId="0" xfId="0" applyFont="1"/>
    <xf numFmtId="0" fontId="1" fillId="0" borderId="0" xfId="0" applyFont="1"/>
    <xf numFmtId="0" fontId="5" fillId="0" borderId="0" xfId="0" applyFont="1" applyAlignment="1">
      <alignment horizontal="center"/>
    </xf>
    <xf numFmtId="0" fontId="5" fillId="3" borderId="0" xfId="0" applyFont="1" applyFill="1" applyAlignment="1">
      <alignment horizontal="center"/>
    </xf>
    <xf numFmtId="0" fontId="5" fillId="4" borderId="0" xfId="0" applyFont="1" applyFill="1" applyAlignment="1">
      <alignment horizontal="center"/>
    </xf>
    <xf numFmtId="0" fontId="5" fillId="5" borderId="0" xfId="0" applyFont="1" applyFill="1" applyAlignment="1">
      <alignment horizontal="center"/>
    </xf>
    <xf numFmtId="0" fontId="5" fillId="6" borderId="0" xfId="0" applyFont="1" applyFill="1" applyAlignment="1">
      <alignment horizontal="center"/>
    </xf>
    <xf numFmtId="0" fontId="5" fillId="7" borderId="0" xfId="0" applyFont="1" applyFill="1" applyAlignment="1">
      <alignment horizontal="center"/>
    </xf>
    <xf numFmtId="0" fontId="5" fillId="8" borderId="0" xfId="0" applyFont="1" applyFill="1" applyAlignment="1">
      <alignment horizontal="center"/>
    </xf>
    <xf numFmtId="0" fontId="6" fillId="9" borderId="0" xfId="0" applyFont="1" applyFill="1" applyAlignment="1">
      <alignment horizontal="center"/>
    </xf>
    <xf numFmtId="0" fontId="0" fillId="0" borderId="0" xfId="0"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9" fillId="0" borderId="0" xfId="0" applyFont="1"/>
    <xf numFmtId="0" fontId="0" fillId="0" borderId="0" xfId="0" applyAlignment="1">
      <alignment wrapText="1"/>
    </xf>
    <xf numFmtId="14" fontId="0" fillId="0" borderId="2" xfId="0" applyNumberFormat="1" applyBorder="1" applyAlignment="1">
      <alignment horizontal="center" vertical="center"/>
    </xf>
    <xf numFmtId="0" fontId="13" fillId="11" borderId="0" xfId="0" applyFont="1" applyFill="1" applyAlignment="1">
      <alignment horizontal="center" vertical="center"/>
    </xf>
    <xf numFmtId="14" fontId="2" fillId="2" borderId="1" xfId="0" applyNumberFormat="1" applyFont="1" applyFill="1" applyBorder="1" applyAlignment="1">
      <alignment horizontal="center" vertical="center" wrapText="1"/>
    </xf>
    <xf numFmtId="14" fontId="0" fillId="0" borderId="0" xfId="0" applyNumberFormat="1"/>
    <xf numFmtId="0" fontId="9" fillId="0" borderId="2" xfId="0" applyFont="1" applyBorder="1"/>
    <xf numFmtId="0" fontId="0" fillId="0" borderId="0" xfId="0" applyAlignment="1">
      <alignment vertical="center"/>
    </xf>
    <xf numFmtId="0" fontId="11" fillId="0" borderId="2" xfId="0" applyFont="1" applyBorder="1"/>
    <xf numFmtId="0" fontId="0" fillId="0" borderId="3" xfId="0" applyBorder="1" applyAlignment="1">
      <alignment horizontal="center" vertical="center"/>
    </xf>
    <xf numFmtId="0" fontId="0" fillId="0" borderId="3" xfId="0" applyBorder="1" applyAlignment="1">
      <alignment vertical="center"/>
    </xf>
    <xf numFmtId="0" fontId="12" fillId="0" borderId="0" xfId="0" applyFont="1"/>
    <xf numFmtId="0" fontId="3" fillId="2" borderId="0" xfId="0" applyFont="1" applyFill="1" applyAlignment="1">
      <alignment horizontal="center" vertical="center"/>
    </xf>
    <xf numFmtId="0" fontId="0" fillId="0" borderId="0" xfId="0"/>
    <xf numFmtId="0" fontId="4" fillId="10"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workbookViewId="0">
      <selection activeCell="B21" sqref="B21"/>
    </sheetView>
  </sheetViews>
  <sheetFormatPr baseColWidth="10" defaultColWidth="8.83203125" defaultRowHeight="15"/>
  <cols>
    <col min="1" max="1" width="25" customWidth="1"/>
    <col min="2" max="2" width="15" customWidth="1"/>
  </cols>
  <sheetData>
    <row r="1" spans="1:6" ht="30" customHeight="1">
      <c r="A1" s="30" t="s">
        <v>0</v>
      </c>
      <c r="B1" s="31"/>
      <c r="C1" s="31"/>
      <c r="D1" s="31"/>
      <c r="E1" s="31"/>
      <c r="F1" s="31"/>
    </row>
    <row r="3" spans="1:6" ht="19">
      <c r="A3" s="4" t="s">
        <v>1</v>
      </c>
    </row>
    <row r="4" spans="1:6" ht="16">
      <c r="A4" s="5" t="s">
        <v>2</v>
      </c>
      <c r="B4" s="6">
        <f>COUNTA('Grammatik Tracker'!B:B)-1</f>
        <v>317</v>
      </c>
    </row>
    <row r="5" spans="1:6" ht="16">
      <c r="A5" s="5" t="s">
        <v>3</v>
      </c>
      <c r="B5" s="7">
        <f>COUNTIF('Grammatik Tracker'!I:I,"Neu")</f>
        <v>272</v>
      </c>
    </row>
    <row r="6" spans="1:6" ht="16">
      <c r="A6" s="5" t="s">
        <v>4</v>
      </c>
      <c r="B6" s="8">
        <f>COUNTIF('Grammatik Tracker'!I:I,"Ausbaufähig")</f>
        <v>4</v>
      </c>
    </row>
    <row r="7" spans="1:6" ht="16">
      <c r="A7" s="5" t="s">
        <v>5</v>
      </c>
      <c r="B7" s="9">
        <f>COUNTIF('Grammatik Tracker'!I:I,"In Arbeit")</f>
        <v>39</v>
      </c>
    </row>
    <row r="8" spans="1:6" ht="16">
      <c r="A8" s="5" t="s">
        <v>6</v>
      </c>
      <c r="B8" s="10">
        <f>COUNTIF('Grammatik Tracker'!I:I,"Gefestigt")</f>
        <v>2</v>
      </c>
    </row>
    <row r="9" spans="1:6" ht="16">
      <c r="A9" s="5" t="s">
        <v>7</v>
      </c>
      <c r="B9" s="11">
        <f>COUNTIF('Grammatik Tracker'!I:I,"Gemeistert")</f>
        <v>0</v>
      </c>
    </row>
    <row r="12" spans="1:6" ht="19">
      <c r="A12" s="4" t="s">
        <v>8</v>
      </c>
    </row>
    <row r="13" spans="1:6" ht="16">
      <c r="A13" s="5" t="s">
        <v>9</v>
      </c>
      <c r="B13" s="12">
        <f>COUNTIF('Grammatik Tracker'!C:C,"A1")</f>
        <v>37</v>
      </c>
    </row>
    <row r="14" spans="1:6" ht="16">
      <c r="A14" s="5" t="s">
        <v>10</v>
      </c>
      <c r="B14" s="12">
        <f>COUNTIF('Grammatik Tracker'!C:C,"A2")</f>
        <v>36</v>
      </c>
    </row>
    <row r="15" spans="1:6" ht="16">
      <c r="A15" s="5" t="s">
        <v>11</v>
      </c>
      <c r="B15" s="12">
        <f>COUNTIF('Grammatik Tracker'!C:C,"B1")</f>
        <v>54</v>
      </c>
    </row>
    <row r="16" spans="1:6" ht="16">
      <c r="A16" s="5" t="s">
        <v>12</v>
      </c>
      <c r="B16" s="12">
        <f>COUNTIF('Grammatik Tracker'!C:C,"B2")</f>
        <v>54</v>
      </c>
    </row>
    <row r="17" spans="1:2" ht="16">
      <c r="A17" s="5" t="s">
        <v>13</v>
      </c>
      <c r="B17" s="12">
        <f>COUNTIF('Grammatik Tracker'!C:C,"C1")</f>
        <v>65</v>
      </c>
    </row>
    <row r="18" spans="1:2" ht="16">
      <c r="A18" s="5" t="s">
        <v>457</v>
      </c>
      <c r="B18" s="12">
        <f>COUNTIF('Grammatik Tracker'!C:C,"C2")</f>
        <v>71</v>
      </c>
    </row>
    <row r="20" spans="1:2" ht="19">
      <c r="A20" s="4" t="s">
        <v>14</v>
      </c>
    </row>
    <row r="21" spans="1:2" ht="16">
      <c r="A21" s="5" t="s">
        <v>15</v>
      </c>
      <c r="B21" s="6">
        <f>ROUND(AVERAGEIF('Grammatik Tracker'!E:E,"&gt;0",'Grammatik Tracker'!E:E),1)</f>
        <v>6.8</v>
      </c>
    </row>
    <row r="22" spans="1:2" ht="16">
      <c r="A22" s="5" t="s">
        <v>16</v>
      </c>
      <c r="B22" s="6">
        <f>SUM('Grammatik Tracker'!F:F)</f>
        <v>66</v>
      </c>
    </row>
    <row r="23" spans="1:2" ht="16">
      <c r="A23" s="5" t="s">
        <v>17</v>
      </c>
      <c r="B23" s="6">
        <f>COUNTA('Grammatik Tracker'!E2:E247)-COUNTBLANK('Grammatik Tracker'!E2:E247)</f>
        <v>-156</v>
      </c>
    </row>
    <row r="24" spans="1:2" ht="16">
      <c r="A24" s="5" t="s">
        <v>18</v>
      </c>
      <c r="B24" s="13" t="str">
        <f>TEXT(B23/B4,"0%")</f>
        <v>-49%</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8"/>
  <sheetViews>
    <sheetView tabSelected="1" topLeftCell="E1" zoomScale="118" workbookViewId="0">
      <pane ySplit="1" topLeftCell="A35" activePane="bottomLeft" state="frozen"/>
      <selection pane="bottomLeft" activeCell="A2" sqref="A2:I7"/>
    </sheetView>
  </sheetViews>
  <sheetFormatPr baseColWidth="10" defaultColWidth="8.83203125" defaultRowHeight="15"/>
  <cols>
    <col min="1" max="1" width="6" customWidth="1"/>
    <col min="2" max="2" width="69" customWidth="1"/>
    <col min="3" max="3" width="10" customWidth="1"/>
    <col min="4" max="4" width="18" customWidth="1"/>
    <col min="5" max="5" width="14" customWidth="1"/>
    <col min="6" max="6" width="12" customWidth="1"/>
    <col min="7" max="7" width="30" customWidth="1"/>
    <col min="8" max="8" width="18" style="23" customWidth="1"/>
    <col min="9" max="9" width="14" customWidth="1"/>
    <col min="10" max="10" width="12" customWidth="1"/>
  </cols>
  <sheetData>
    <row r="1" spans="1:10" ht="48">
      <c r="A1" s="1" t="s">
        <v>19</v>
      </c>
      <c r="B1" s="1" t="s">
        <v>20</v>
      </c>
      <c r="C1" s="1" t="s">
        <v>21</v>
      </c>
      <c r="D1" s="1" t="s">
        <v>22</v>
      </c>
      <c r="E1" s="1" t="s">
        <v>23</v>
      </c>
      <c r="F1" s="1" t="s">
        <v>24</v>
      </c>
      <c r="G1" s="1" t="s">
        <v>25</v>
      </c>
      <c r="H1" s="22" t="s">
        <v>26</v>
      </c>
      <c r="I1" s="1" t="s">
        <v>27</v>
      </c>
      <c r="J1" s="1" t="s">
        <v>28</v>
      </c>
    </row>
    <row r="2" spans="1:10" ht="18">
      <c r="A2" s="2">
        <v>75</v>
      </c>
      <c r="B2" s="2" t="s">
        <v>107</v>
      </c>
      <c r="C2" s="3" t="s">
        <v>106</v>
      </c>
      <c r="D2" s="20">
        <v>45980</v>
      </c>
      <c r="E2" s="3">
        <v>6</v>
      </c>
      <c r="F2" s="3">
        <v>1</v>
      </c>
      <c r="G2" s="24" t="s">
        <v>470</v>
      </c>
      <c r="H2" s="20">
        <f t="shared" ref="H2:H65" si="0">IF(AND(E2&lt;&gt;"",D2&lt;&gt;""),IF(E2&gt;=9,D2+30,IF(E2&gt;=7,D2+14,IF(E2&gt;=5,D2+7,IF(E2&gt;=3,D2+3,D2+1)))),"")</f>
        <v>45987</v>
      </c>
      <c r="I2" s="3" t="str">
        <f t="shared" ref="I2:I65" si="1">IF(F2=0,"Neu",IF(AND(E2&gt;=9,F2&gt;=3),"Gemeistert",IF(E2&gt;=9,"Gefestigt",IF(E2&gt;=5,"In Arbeit","Ausbaufähig"))))</f>
        <v>In Arbeit</v>
      </c>
      <c r="J2" s="3"/>
    </row>
    <row r="3" spans="1:10" ht="18">
      <c r="A3" s="2">
        <v>173</v>
      </c>
      <c r="B3" s="2" t="s">
        <v>206</v>
      </c>
      <c r="C3" s="3" t="s">
        <v>161</v>
      </c>
      <c r="D3" s="20">
        <v>45974</v>
      </c>
      <c r="E3" s="3">
        <v>8</v>
      </c>
      <c r="F3" s="3">
        <v>1</v>
      </c>
      <c r="G3" s="24" t="s">
        <v>372</v>
      </c>
      <c r="H3" s="20">
        <f t="shared" si="0"/>
        <v>45988</v>
      </c>
      <c r="I3" s="3" t="str">
        <f t="shared" si="1"/>
        <v>In Arbeit</v>
      </c>
      <c r="J3" s="3"/>
    </row>
    <row r="4" spans="1:10" ht="18">
      <c r="A4" s="2">
        <v>159</v>
      </c>
      <c r="B4" s="2" t="s">
        <v>192</v>
      </c>
      <c r="C4" s="3" t="s">
        <v>161</v>
      </c>
      <c r="D4" s="20">
        <v>45974</v>
      </c>
      <c r="E4" s="3">
        <v>7</v>
      </c>
      <c r="F4" s="3">
        <v>1</v>
      </c>
      <c r="G4" s="24" t="s">
        <v>373</v>
      </c>
      <c r="H4" s="20">
        <f t="shared" si="0"/>
        <v>45988</v>
      </c>
      <c r="I4" s="3" t="str">
        <f t="shared" si="1"/>
        <v>In Arbeit</v>
      </c>
      <c r="J4" s="3"/>
    </row>
    <row r="5" spans="1:10" ht="18">
      <c r="A5" s="2">
        <v>141</v>
      </c>
      <c r="B5" s="2" t="s">
        <v>174</v>
      </c>
      <c r="C5" s="3" t="s">
        <v>161</v>
      </c>
      <c r="D5" s="20">
        <v>45981</v>
      </c>
      <c r="E5" s="3">
        <v>6</v>
      </c>
      <c r="F5" s="3">
        <v>2</v>
      </c>
      <c r="G5" s="26" t="s">
        <v>475</v>
      </c>
      <c r="H5" s="20">
        <f t="shared" si="0"/>
        <v>45988</v>
      </c>
      <c r="I5" s="3" t="str">
        <f t="shared" si="1"/>
        <v>In Arbeit</v>
      </c>
      <c r="J5" s="3"/>
    </row>
    <row r="6" spans="1:10" ht="18">
      <c r="A6" s="2">
        <v>81</v>
      </c>
      <c r="B6" s="2" t="s">
        <v>113</v>
      </c>
      <c r="C6" s="3" t="s">
        <v>106</v>
      </c>
      <c r="D6" s="20">
        <v>45975</v>
      </c>
      <c r="E6" s="3">
        <v>8</v>
      </c>
      <c r="F6" s="3">
        <v>1</v>
      </c>
      <c r="G6" s="24" t="s">
        <v>374</v>
      </c>
      <c r="H6" s="20">
        <f t="shared" si="0"/>
        <v>45989</v>
      </c>
      <c r="I6" s="3" t="str">
        <f t="shared" si="1"/>
        <v>In Arbeit</v>
      </c>
      <c r="J6" s="3"/>
    </row>
    <row r="7" spans="1:10" ht="18">
      <c r="A7" s="2">
        <v>105</v>
      </c>
      <c r="B7" s="2" t="s">
        <v>137</v>
      </c>
      <c r="C7" s="3" t="s">
        <v>106</v>
      </c>
      <c r="D7" s="20">
        <v>45975</v>
      </c>
      <c r="E7" s="3">
        <v>8</v>
      </c>
      <c r="F7" s="3">
        <v>1</v>
      </c>
      <c r="G7" s="24" t="s">
        <v>376</v>
      </c>
      <c r="H7" s="20">
        <f t="shared" si="0"/>
        <v>45989</v>
      </c>
      <c r="I7" s="3" t="str">
        <f t="shared" si="1"/>
        <v>In Arbeit</v>
      </c>
      <c r="J7" s="3"/>
    </row>
    <row r="8" spans="1:10" ht="18">
      <c r="A8" s="2">
        <v>82</v>
      </c>
      <c r="B8" s="2" t="s">
        <v>114</v>
      </c>
      <c r="C8" s="3" t="s">
        <v>106</v>
      </c>
      <c r="D8" s="20">
        <v>45975</v>
      </c>
      <c r="E8" s="3">
        <v>7</v>
      </c>
      <c r="F8" s="3">
        <v>1</v>
      </c>
      <c r="G8" s="24" t="s">
        <v>375</v>
      </c>
      <c r="H8" s="20">
        <f t="shared" si="0"/>
        <v>45989</v>
      </c>
      <c r="I8" s="3" t="str">
        <f t="shared" si="1"/>
        <v>In Arbeit</v>
      </c>
      <c r="J8" s="3"/>
    </row>
    <row r="9" spans="1:10" ht="18">
      <c r="A9" s="2">
        <v>148</v>
      </c>
      <c r="B9" s="2" t="s">
        <v>181</v>
      </c>
      <c r="C9" s="3" t="s">
        <v>161</v>
      </c>
      <c r="D9" s="20">
        <v>45986</v>
      </c>
      <c r="E9" s="3">
        <v>4</v>
      </c>
      <c r="F9" s="3">
        <v>3</v>
      </c>
      <c r="G9" s="24" t="s">
        <v>488</v>
      </c>
      <c r="H9" s="20">
        <f t="shared" si="0"/>
        <v>45989</v>
      </c>
      <c r="I9" s="3" t="str">
        <f t="shared" si="1"/>
        <v>Ausbaufähig</v>
      </c>
      <c r="J9" s="3"/>
    </row>
    <row r="10" spans="1:10">
      <c r="A10" s="2">
        <v>153</v>
      </c>
      <c r="B10" s="2" t="s">
        <v>186</v>
      </c>
      <c r="C10" s="3" t="s">
        <v>161</v>
      </c>
      <c r="D10" s="20">
        <v>45986</v>
      </c>
      <c r="E10" s="3">
        <v>3</v>
      </c>
      <c r="F10" s="3">
        <v>1</v>
      </c>
      <c r="G10" s="2" t="s">
        <v>491</v>
      </c>
      <c r="H10" s="20">
        <f t="shared" si="0"/>
        <v>45989</v>
      </c>
      <c r="I10" s="3" t="str">
        <f t="shared" si="1"/>
        <v>Ausbaufähig</v>
      </c>
      <c r="J10" s="3"/>
    </row>
    <row r="11" spans="1:10" ht="18">
      <c r="A11" s="2">
        <v>115</v>
      </c>
      <c r="B11" s="2" t="s">
        <v>147</v>
      </c>
      <c r="C11" s="3" t="s">
        <v>106</v>
      </c>
      <c r="D11" s="20">
        <v>45983</v>
      </c>
      <c r="E11" s="3">
        <v>6</v>
      </c>
      <c r="F11" s="3">
        <v>2</v>
      </c>
      <c r="G11" s="24" t="s">
        <v>481</v>
      </c>
      <c r="H11" s="20">
        <f t="shared" si="0"/>
        <v>45990</v>
      </c>
      <c r="I11" s="3" t="str">
        <f t="shared" si="1"/>
        <v>In Arbeit</v>
      </c>
      <c r="J11" s="3"/>
    </row>
    <row r="12" spans="1:10">
      <c r="A12" s="2">
        <v>30</v>
      </c>
      <c r="B12" s="2" t="s">
        <v>60</v>
      </c>
      <c r="C12" s="3" t="s">
        <v>30</v>
      </c>
      <c r="D12" s="20">
        <v>45977</v>
      </c>
      <c r="E12" s="3">
        <v>8</v>
      </c>
      <c r="F12" s="3">
        <v>1</v>
      </c>
      <c r="G12" s="2" t="s">
        <v>453</v>
      </c>
      <c r="H12" s="20">
        <f t="shared" si="0"/>
        <v>45991</v>
      </c>
      <c r="I12" s="3" t="str">
        <f t="shared" si="1"/>
        <v>In Arbeit</v>
      </c>
      <c r="J12" s="3"/>
    </row>
    <row r="13" spans="1:10" ht="18">
      <c r="A13" s="2">
        <v>46</v>
      </c>
      <c r="B13" s="2" t="s">
        <v>77</v>
      </c>
      <c r="C13" s="3" t="s">
        <v>69</v>
      </c>
      <c r="D13" s="20">
        <v>45977</v>
      </c>
      <c r="E13" s="3">
        <v>7</v>
      </c>
      <c r="F13" s="3">
        <v>1</v>
      </c>
      <c r="G13" s="24" t="s">
        <v>455</v>
      </c>
      <c r="H13" s="20">
        <f t="shared" si="0"/>
        <v>45991</v>
      </c>
      <c r="I13" s="3" t="str">
        <f t="shared" si="1"/>
        <v>In Arbeit</v>
      </c>
      <c r="J13" s="3"/>
    </row>
    <row r="14" spans="1:10" ht="18">
      <c r="A14" s="2">
        <v>45</v>
      </c>
      <c r="B14" s="2" t="s">
        <v>76</v>
      </c>
      <c r="C14" s="3" t="s">
        <v>69</v>
      </c>
      <c r="D14" s="20">
        <v>45977</v>
      </c>
      <c r="E14" s="3">
        <v>7</v>
      </c>
      <c r="F14" s="3">
        <v>1</v>
      </c>
      <c r="G14" s="24" t="s">
        <v>454</v>
      </c>
      <c r="H14" s="20">
        <f t="shared" si="0"/>
        <v>45991</v>
      </c>
      <c r="I14" s="3" t="str">
        <f t="shared" si="1"/>
        <v>In Arbeit</v>
      </c>
      <c r="J14" s="3"/>
    </row>
    <row r="15" spans="1:10" ht="18">
      <c r="A15" s="2">
        <v>145</v>
      </c>
      <c r="B15" s="2" t="s">
        <v>178</v>
      </c>
      <c r="C15" s="3" t="s">
        <v>161</v>
      </c>
      <c r="D15" s="20">
        <v>45977</v>
      </c>
      <c r="E15" s="3">
        <v>7</v>
      </c>
      <c r="F15" s="3">
        <v>1</v>
      </c>
      <c r="G15" s="24" t="s">
        <v>456</v>
      </c>
      <c r="H15" s="20">
        <f t="shared" si="0"/>
        <v>45991</v>
      </c>
      <c r="I15" s="3" t="str">
        <f t="shared" si="1"/>
        <v>In Arbeit</v>
      </c>
      <c r="J15" s="3"/>
    </row>
    <row r="16" spans="1:10" ht="18">
      <c r="A16" s="2">
        <v>66</v>
      </c>
      <c r="B16" s="2" t="s">
        <v>97</v>
      </c>
      <c r="C16" s="3" t="s">
        <v>69</v>
      </c>
      <c r="D16" s="20">
        <v>45979</v>
      </c>
      <c r="E16" s="3">
        <v>8</v>
      </c>
      <c r="F16" s="3">
        <v>1</v>
      </c>
      <c r="G16" s="24" t="s">
        <v>460</v>
      </c>
      <c r="H16" s="20">
        <f t="shared" si="0"/>
        <v>45993</v>
      </c>
      <c r="I16" s="3" t="str">
        <f t="shared" si="1"/>
        <v>In Arbeit</v>
      </c>
      <c r="J16" s="3"/>
    </row>
    <row r="17" spans="1:10" ht="18">
      <c r="A17" s="2">
        <v>74</v>
      </c>
      <c r="B17" s="2" t="s">
        <v>105</v>
      </c>
      <c r="C17" s="3" t="s">
        <v>106</v>
      </c>
      <c r="D17" s="20">
        <v>45979</v>
      </c>
      <c r="E17" s="3">
        <v>7</v>
      </c>
      <c r="F17" s="3">
        <v>1</v>
      </c>
      <c r="G17" s="24" t="s">
        <v>461</v>
      </c>
      <c r="H17" s="20">
        <f t="shared" si="0"/>
        <v>45993</v>
      </c>
      <c r="I17" s="3" t="str">
        <f t="shared" si="1"/>
        <v>In Arbeit</v>
      </c>
      <c r="J17" s="3"/>
    </row>
    <row r="18" spans="1:10" ht="18">
      <c r="A18" s="2">
        <v>133</v>
      </c>
      <c r="B18" s="2" t="s">
        <v>166</v>
      </c>
      <c r="C18" s="3" t="s">
        <v>161</v>
      </c>
      <c r="D18" s="20">
        <v>45986</v>
      </c>
      <c r="E18" s="3">
        <v>6</v>
      </c>
      <c r="F18" s="3">
        <v>2</v>
      </c>
      <c r="G18" s="24" t="s">
        <v>487</v>
      </c>
      <c r="H18" s="20">
        <f t="shared" si="0"/>
        <v>45993</v>
      </c>
      <c r="I18" s="3" t="str">
        <f t="shared" si="1"/>
        <v>In Arbeit</v>
      </c>
      <c r="J18" s="3"/>
    </row>
    <row r="19" spans="1:10">
      <c r="A19" s="2">
        <v>129</v>
      </c>
      <c r="B19" s="2" t="s">
        <v>162</v>
      </c>
      <c r="C19" s="3" t="s">
        <v>161</v>
      </c>
      <c r="D19" s="20">
        <v>45986</v>
      </c>
      <c r="E19" s="3">
        <v>5</v>
      </c>
      <c r="F19" s="3">
        <v>1</v>
      </c>
      <c r="G19" s="2" t="s">
        <v>489</v>
      </c>
      <c r="H19" s="20">
        <f t="shared" si="0"/>
        <v>45993</v>
      </c>
      <c r="I19" s="3" t="str">
        <f t="shared" si="1"/>
        <v>In Arbeit</v>
      </c>
      <c r="J19" s="3"/>
    </row>
    <row r="20" spans="1:10" ht="18">
      <c r="A20" s="2">
        <v>27</v>
      </c>
      <c r="B20" s="2" t="s">
        <v>57</v>
      </c>
      <c r="C20" s="3" t="s">
        <v>30</v>
      </c>
      <c r="D20" s="20">
        <v>45980</v>
      </c>
      <c r="E20" s="3">
        <v>8</v>
      </c>
      <c r="F20" s="3">
        <v>1</v>
      </c>
      <c r="G20" s="24" t="s">
        <v>468</v>
      </c>
      <c r="H20" s="20">
        <f t="shared" si="0"/>
        <v>45994</v>
      </c>
      <c r="I20" s="3" t="str">
        <f t="shared" si="1"/>
        <v>In Arbeit</v>
      </c>
      <c r="J20" s="3"/>
    </row>
    <row r="21" spans="1:10" ht="18">
      <c r="A21" s="2">
        <v>49</v>
      </c>
      <c r="B21" s="2" t="s">
        <v>80</v>
      </c>
      <c r="C21" s="3" t="s">
        <v>69</v>
      </c>
      <c r="D21" s="20">
        <v>45980</v>
      </c>
      <c r="E21" s="3">
        <v>8</v>
      </c>
      <c r="F21" s="3">
        <v>1</v>
      </c>
      <c r="G21" s="24" t="s">
        <v>469</v>
      </c>
      <c r="H21" s="20">
        <f t="shared" si="0"/>
        <v>45994</v>
      </c>
      <c r="I21" s="3" t="str">
        <f t="shared" si="1"/>
        <v>In Arbeit</v>
      </c>
      <c r="J21" s="3"/>
    </row>
    <row r="22" spans="1:10">
      <c r="A22" s="2">
        <v>83</v>
      </c>
      <c r="B22" s="2" t="s">
        <v>115</v>
      </c>
      <c r="C22" s="3" t="s">
        <v>106</v>
      </c>
      <c r="D22" s="20">
        <v>45980</v>
      </c>
      <c r="E22" s="3">
        <v>7</v>
      </c>
      <c r="F22" s="3">
        <v>1</v>
      </c>
      <c r="G22" s="2" t="s">
        <v>471</v>
      </c>
      <c r="H22" s="20">
        <f t="shared" si="0"/>
        <v>45994</v>
      </c>
      <c r="I22" s="3" t="str">
        <f t="shared" si="1"/>
        <v>In Arbeit</v>
      </c>
      <c r="J22" s="3"/>
    </row>
    <row r="23" spans="1:10" ht="18">
      <c r="A23" s="2">
        <v>69</v>
      </c>
      <c r="B23" s="2" t="s">
        <v>100</v>
      </c>
      <c r="C23" s="3" t="s">
        <v>69</v>
      </c>
      <c r="D23" s="20">
        <v>45981</v>
      </c>
      <c r="E23" s="3">
        <v>7</v>
      </c>
      <c r="F23" s="3">
        <v>2</v>
      </c>
      <c r="G23" s="24" t="s">
        <v>473</v>
      </c>
      <c r="H23" s="20">
        <f t="shared" si="0"/>
        <v>45995</v>
      </c>
      <c r="I23" s="3" t="str">
        <f t="shared" si="1"/>
        <v>In Arbeit</v>
      </c>
      <c r="J23" s="3"/>
    </row>
    <row r="24" spans="1:10" ht="18">
      <c r="A24" s="2">
        <v>131</v>
      </c>
      <c r="B24" s="2" t="s">
        <v>164</v>
      </c>
      <c r="C24" s="3" t="s">
        <v>161</v>
      </c>
      <c r="D24" s="20">
        <v>45981</v>
      </c>
      <c r="E24" s="3">
        <v>8</v>
      </c>
      <c r="F24" s="3">
        <v>2</v>
      </c>
      <c r="G24" s="24" t="s">
        <v>474</v>
      </c>
      <c r="H24" s="20">
        <f t="shared" si="0"/>
        <v>45995</v>
      </c>
      <c r="I24" s="3" t="str">
        <f t="shared" si="1"/>
        <v>In Arbeit</v>
      </c>
      <c r="J24" s="3"/>
    </row>
    <row r="25" spans="1:10" ht="18">
      <c r="A25" s="2">
        <v>110</v>
      </c>
      <c r="B25" s="2" t="s">
        <v>142</v>
      </c>
      <c r="C25" s="3" t="s">
        <v>106</v>
      </c>
      <c r="D25" s="20">
        <v>45981</v>
      </c>
      <c r="E25" s="3">
        <v>8</v>
      </c>
      <c r="F25" s="3">
        <v>2</v>
      </c>
      <c r="G25" s="24" t="s">
        <v>476</v>
      </c>
      <c r="H25" s="20">
        <f t="shared" si="0"/>
        <v>45995</v>
      </c>
      <c r="I25" s="3" t="str">
        <f t="shared" si="1"/>
        <v>In Arbeit</v>
      </c>
      <c r="J25" s="3"/>
    </row>
    <row r="26" spans="1:10" ht="18">
      <c r="A26" s="2">
        <v>55</v>
      </c>
      <c r="B26" s="2" t="s">
        <v>86</v>
      </c>
      <c r="C26" s="3" t="s">
        <v>69</v>
      </c>
      <c r="D26" s="20">
        <v>45981</v>
      </c>
      <c r="E26" s="3">
        <v>7</v>
      </c>
      <c r="F26" s="3">
        <v>2</v>
      </c>
      <c r="G26" s="24" t="s">
        <v>477</v>
      </c>
      <c r="H26" s="20">
        <f t="shared" si="0"/>
        <v>45995</v>
      </c>
      <c r="I26" s="3" t="str">
        <f t="shared" si="1"/>
        <v>In Arbeit</v>
      </c>
      <c r="J26" s="3"/>
    </row>
    <row r="27" spans="1:10" ht="18">
      <c r="A27" s="2">
        <v>96</v>
      </c>
      <c r="B27" s="2" t="s">
        <v>128</v>
      </c>
      <c r="C27" s="3" t="s">
        <v>106</v>
      </c>
      <c r="D27" s="20">
        <v>45981</v>
      </c>
      <c r="E27" s="3">
        <v>7</v>
      </c>
      <c r="F27" s="3">
        <v>2</v>
      </c>
      <c r="G27" s="24" t="s">
        <v>478</v>
      </c>
      <c r="H27" s="20">
        <f t="shared" si="0"/>
        <v>45995</v>
      </c>
      <c r="I27" s="3" t="str">
        <f t="shared" si="1"/>
        <v>In Arbeit</v>
      </c>
      <c r="J27" s="3"/>
    </row>
    <row r="28" spans="1:10" ht="18">
      <c r="A28" s="2">
        <v>168</v>
      </c>
      <c r="B28" s="2" t="s">
        <v>201</v>
      </c>
      <c r="C28" s="3" t="s">
        <v>161</v>
      </c>
      <c r="D28" s="20">
        <v>45983</v>
      </c>
      <c r="E28" s="3">
        <v>7</v>
      </c>
      <c r="F28" s="3">
        <v>2</v>
      </c>
      <c r="G28" s="24" t="s">
        <v>482</v>
      </c>
      <c r="H28" s="20">
        <f t="shared" si="0"/>
        <v>45997</v>
      </c>
      <c r="I28" s="3" t="str">
        <f t="shared" si="1"/>
        <v>In Arbeit</v>
      </c>
      <c r="J28" s="3"/>
    </row>
    <row r="29" spans="1:10" ht="18">
      <c r="A29" s="2">
        <v>130</v>
      </c>
      <c r="B29" s="2" t="s">
        <v>163</v>
      </c>
      <c r="C29" s="3" t="s">
        <v>161</v>
      </c>
      <c r="D29" s="20">
        <v>45983</v>
      </c>
      <c r="E29" s="3">
        <v>7</v>
      </c>
      <c r="F29" s="3">
        <v>1</v>
      </c>
      <c r="G29" s="24" t="s">
        <v>484</v>
      </c>
      <c r="H29" s="20">
        <f t="shared" si="0"/>
        <v>45997</v>
      </c>
      <c r="I29" s="3" t="str">
        <f t="shared" si="1"/>
        <v>In Arbeit</v>
      </c>
      <c r="J29" s="3"/>
    </row>
    <row r="30" spans="1:10" ht="18">
      <c r="A30" s="2">
        <v>139</v>
      </c>
      <c r="B30" s="2" t="s">
        <v>172</v>
      </c>
      <c r="C30" s="3" t="s">
        <v>161</v>
      </c>
      <c r="D30" s="20">
        <v>45983</v>
      </c>
      <c r="E30" s="3">
        <v>8</v>
      </c>
      <c r="F30" s="3">
        <v>1</v>
      </c>
      <c r="G30" s="18" t="s">
        <v>485</v>
      </c>
      <c r="H30" s="20">
        <f t="shared" si="0"/>
        <v>45997</v>
      </c>
      <c r="I30" s="3" t="str">
        <f t="shared" si="1"/>
        <v>In Arbeit</v>
      </c>
      <c r="J30" s="3"/>
    </row>
    <row r="31" spans="1:10" ht="18">
      <c r="A31" s="2">
        <v>152</v>
      </c>
      <c r="B31" s="2" t="s">
        <v>185</v>
      </c>
      <c r="C31" s="3" t="s">
        <v>161</v>
      </c>
      <c r="D31" s="20">
        <v>45983</v>
      </c>
      <c r="E31" s="3">
        <v>7</v>
      </c>
      <c r="F31" s="3">
        <v>1</v>
      </c>
      <c r="G31" s="18" t="s">
        <v>486</v>
      </c>
      <c r="H31" s="20">
        <f t="shared" si="0"/>
        <v>45997</v>
      </c>
      <c r="I31" s="3" t="str">
        <f t="shared" si="1"/>
        <v>In Arbeit</v>
      </c>
      <c r="J31" s="3"/>
    </row>
    <row r="32" spans="1:10" ht="18">
      <c r="A32" s="2">
        <v>92</v>
      </c>
      <c r="B32" s="2" t="s">
        <v>124</v>
      </c>
      <c r="C32" s="3" t="s">
        <v>106</v>
      </c>
      <c r="D32" s="20">
        <v>45995</v>
      </c>
      <c r="E32" s="3">
        <v>4</v>
      </c>
      <c r="F32" s="3">
        <v>2</v>
      </c>
      <c r="G32" s="24" t="s">
        <v>464</v>
      </c>
      <c r="H32" s="20">
        <f t="shared" si="0"/>
        <v>45998</v>
      </c>
      <c r="I32" s="3" t="str">
        <f t="shared" si="1"/>
        <v>Ausbaufähig</v>
      </c>
      <c r="J32" s="3"/>
    </row>
    <row r="33" spans="1:10" ht="18">
      <c r="A33" s="2">
        <v>76</v>
      </c>
      <c r="B33" s="2" t="s">
        <v>108</v>
      </c>
      <c r="C33" s="3" t="s">
        <v>106</v>
      </c>
      <c r="D33" s="20">
        <v>45995</v>
      </c>
      <c r="E33" s="3">
        <v>3</v>
      </c>
      <c r="F33" s="3">
        <v>2</v>
      </c>
      <c r="G33" s="18" t="s">
        <v>368</v>
      </c>
      <c r="H33" s="20">
        <f t="shared" si="0"/>
        <v>45998</v>
      </c>
      <c r="I33" s="3" t="str">
        <f t="shared" si="1"/>
        <v>Ausbaufähig</v>
      </c>
      <c r="J33" s="3"/>
    </row>
    <row r="34" spans="1:10">
      <c r="A34" s="2">
        <v>136</v>
      </c>
      <c r="B34" s="2" t="s">
        <v>169</v>
      </c>
      <c r="C34" s="3" t="s">
        <v>161</v>
      </c>
      <c r="D34" s="20">
        <v>45986</v>
      </c>
      <c r="E34" s="3">
        <v>8</v>
      </c>
      <c r="F34" s="3">
        <v>1</v>
      </c>
      <c r="G34" s="2" t="s">
        <v>490</v>
      </c>
      <c r="H34" s="20">
        <f t="shared" si="0"/>
        <v>46000</v>
      </c>
      <c r="I34" s="3" t="str">
        <f t="shared" si="1"/>
        <v>In Arbeit</v>
      </c>
      <c r="J34" s="3"/>
    </row>
    <row r="35" spans="1:10">
      <c r="A35" s="2">
        <v>164</v>
      </c>
      <c r="B35" s="2" t="s">
        <v>197</v>
      </c>
      <c r="C35" s="3" t="s">
        <v>161</v>
      </c>
      <c r="D35" s="20">
        <v>45986</v>
      </c>
      <c r="E35" s="3">
        <v>8</v>
      </c>
      <c r="F35" s="3">
        <v>1</v>
      </c>
      <c r="G35" s="2" t="s">
        <v>492</v>
      </c>
      <c r="H35" s="20">
        <f t="shared" si="0"/>
        <v>46000</v>
      </c>
      <c r="I35" s="3" t="str">
        <f t="shared" si="1"/>
        <v>In Arbeit</v>
      </c>
      <c r="J35" s="3"/>
    </row>
    <row r="36" spans="1:10" ht="18">
      <c r="A36" s="2">
        <v>77</v>
      </c>
      <c r="B36" s="2" t="s">
        <v>109</v>
      </c>
      <c r="C36" s="3" t="s">
        <v>106</v>
      </c>
      <c r="D36" s="20">
        <v>45995</v>
      </c>
      <c r="E36" s="3">
        <v>5</v>
      </c>
      <c r="F36" s="3">
        <v>2</v>
      </c>
      <c r="G36" s="24" t="s">
        <v>462</v>
      </c>
      <c r="H36" s="20">
        <f t="shared" si="0"/>
        <v>46002</v>
      </c>
      <c r="I36" s="3" t="str">
        <f t="shared" si="1"/>
        <v>In Arbeit</v>
      </c>
      <c r="J36" s="3"/>
    </row>
    <row r="37" spans="1:10" ht="18">
      <c r="A37" s="2">
        <v>48</v>
      </c>
      <c r="B37" s="2" t="s">
        <v>79</v>
      </c>
      <c r="C37" s="3" t="s">
        <v>69</v>
      </c>
      <c r="D37" s="20">
        <v>45995</v>
      </c>
      <c r="E37" s="3">
        <v>6</v>
      </c>
      <c r="F37" s="3">
        <v>2</v>
      </c>
      <c r="G37" s="24" t="s">
        <v>367</v>
      </c>
      <c r="H37" s="20">
        <f t="shared" si="0"/>
        <v>46002</v>
      </c>
      <c r="I37" s="3" t="str">
        <f t="shared" si="1"/>
        <v>In Arbeit</v>
      </c>
      <c r="J37" s="3"/>
    </row>
    <row r="38" spans="1:10" ht="18">
      <c r="A38" s="2">
        <v>47</v>
      </c>
      <c r="B38" s="2" t="s">
        <v>78</v>
      </c>
      <c r="C38" s="3" t="s">
        <v>69</v>
      </c>
      <c r="D38" s="20">
        <v>45995</v>
      </c>
      <c r="E38" s="3">
        <v>6</v>
      </c>
      <c r="F38" s="3">
        <v>2</v>
      </c>
      <c r="G38" s="24" t="s">
        <v>366</v>
      </c>
      <c r="H38" s="20">
        <f t="shared" si="0"/>
        <v>46002</v>
      </c>
      <c r="I38" s="3" t="str">
        <f t="shared" si="1"/>
        <v>In Arbeit</v>
      </c>
      <c r="J38" s="3"/>
    </row>
    <row r="39" spans="1:10" ht="18">
      <c r="A39" s="2">
        <v>29</v>
      </c>
      <c r="B39" s="2" t="s">
        <v>59</v>
      </c>
      <c r="C39" s="3" t="s">
        <v>30</v>
      </c>
      <c r="D39" s="20">
        <v>45995</v>
      </c>
      <c r="E39" s="3">
        <v>6</v>
      </c>
      <c r="F39" s="3">
        <v>2</v>
      </c>
      <c r="G39" s="24" t="s">
        <v>359</v>
      </c>
      <c r="H39" s="20">
        <f t="shared" si="0"/>
        <v>46002</v>
      </c>
      <c r="I39" s="3" t="str">
        <f t="shared" si="1"/>
        <v>In Arbeit</v>
      </c>
      <c r="J39" s="3"/>
    </row>
    <row r="40" spans="1:10" ht="18">
      <c r="A40" s="2">
        <v>32</v>
      </c>
      <c r="B40" s="2" t="s">
        <v>62</v>
      </c>
      <c r="C40" s="3" t="s">
        <v>30</v>
      </c>
      <c r="D40" s="20">
        <v>45995</v>
      </c>
      <c r="E40" s="3">
        <v>6</v>
      </c>
      <c r="F40" s="3">
        <v>2</v>
      </c>
      <c r="G40" s="24" t="s">
        <v>365</v>
      </c>
      <c r="H40" s="20">
        <f t="shared" si="0"/>
        <v>46002</v>
      </c>
      <c r="I40" s="3" t="str">
        <f t="shared" si="1"/>
        <v>In Arbeit</v>
      </c>
      <c r="J40" s="3"/>
    </row>
    <row r="41" spans="1:10" ht="18">
      <c r="A41" s="2">
        <v>89</v>
      </c>
      <c r="B41" s="2" t="s">
        <v>121</v>
      </c>
      <c r="C41" s="3" t="s">
        <v>106</v>
      </c>
      <c r="D41" s="20">
        <v>45995</v>
      </c>
      <c r="E41" s="3">
        <v>6</v>
      </c>
      <c r="F41" s="3">
        <v>1</v>
      </c>
      <c r="G41" s="24" t="s">
        <v>472</v>
      </c>
      <c r="H41" s="20">
        <f t="shared" si="0"/>
        <v>46002</v>
      </c>
      <c r="I41" s="3" t="str">
        <f t="shared" si="1"/>
        <v>In Arbeit</v>
      </c>
      <c r="J41" s="3"/>
    </row>
    <row r="42" spans="1:10" ht="18">
      <c r="A42" s="2">
        <v>134</v>
      </c>
      <c r="B42" s="2" t="s">
        <v>167</v>
      </c>
      <c r="C42" s="3" t="s">
        <v>161</v>
      </c>
      <c r="D42" s="20">
        <v>45995</v>
      </c>
      <c r="E42" s="3">
        <v>8</v>
      </c>
      <c r="F42" s="3">
        <v>2</v>
      </c>
      <c r="G42" s="24" t="s">
        <v>465</v>
      </c>
      <c r="H42" s="20">
        <f t="shared" si="0"/>
        <v>46009</v>
      </c>
      <c r="I42" s="3" t="str">
        <f t="shared" si="1"/>
        <v>In Arbeit</v>
      </c>
      <c r="J42" s="3"/>
    </row>
    <row r="43" spans="1:10" ht="18">
      <c r="A43" s="2">
        <v>113</v>
      </c>
      <c r="B43" s="2" t="s">
        <v>145</v>
      </c>
      <c r="C43" s="3" t="s">
        <v>106</v>
      </c>
      <c r="D43" s="20">
        <v>45995</v>
      </c>
      <c r="E43" s="3">
        <v>7</v>
      </c>
      <c r="F43" s="3">
        <v>2</v>
      </c>
      <c r="G43" s="24" t="s">
        <v>360</v>
      </c>
      <c r="H43" s="20">
        <f t="shared" si="0"/>
        <v>46009</v>
      </c>
      <c r="I43" s="3" t="str">
        <f t="shared" si="1"/>
        <v>In Arbeit</v>
      </c>
      <c r="J43" s="3"/>
    </row>
    <row r="44" spans="1:10" ht="18">
      <c r="A44" s="2">
        <v>84</v>
      </c>
      <c r="B44" s="2" t="s">
        <v>116</v>
      </c>
      <c r="C44" s="3" t="s">
        <v>106</v>
      </c>
      <c r="D44" s="20">
        <v>45995</v>
      </c>
      <c r="E44" s="3">
        <v>8</v>
      </c>
      <c r="F44" s="3">
        <v>2</v>
      </c>
      <c r="G44" s="24" t="s">
        <v>369</v>
      </c>
      <c r="H44" s="20">
        <f t="shared" si="0"/>
        <v>46009</v>
      </c>
      <c r="I44" s="3" t="str">
        <f t="shared" si="1"/>
        <v>In Arbeit</v>
      </c>
      <c r="J44" s="3"/>
    </row>
    <row r="45" spans="1:10" ht="18">
      <c r="A45" s="2">
        <v>78</v>
      </c>
      <c r="B45" s="2" t="s">
        <v>110</v>
      </c>
      <c r="C45" s="3" t="s">
        <v>106</v>
      </c>
      <c r="D45" s="20">
        <v>45979</v>
      </c>
      <c r="E45" s="3">
        <v>9</v>
      </c>
      <c r="F45" s="3">
        <v>1</v>
      </c>
      <c r="G45" s="24" t="s">
        <v>463</v>
      </c>
      <c r="H45" s="20">
        <f t="shared" si="0"/>
        <v>46009</v>
      </c>
      <c r="I45" s="3" t="str">
        <f t="shared" si="1"/>
        <v>Gefestigt</v>
      </c>
      <c r="J45" s="3"/>
    </row>
    <row r="46" spans="1:10" ht="18">
      <c r="A46" s="2">
        <v>124</v>
      </c>
      <c r="B46" s="2" t="s">
        <v>156</v>
      </c>
      <c r="C46" s="3" t="s">
        <v>106</v>
      </c>
      <c r="D46" s="20">
        <v>45983</v>
      </c>
      <c r="E46" s="3">
        <v>9</v>
      </c>
      <c r="F46" s="3">
        <v>1</v>
      </c>
      <c r="G46" s="24" t="s">
        <v>483</v>
      </c>
      <c r="H46" s="20">
        <f t="shared" si="0"/>
        <v>46013</v>
      </c>
      <c r="I46" s="3" t="str">
        <f t="shared" si="1"/>
        <v>Gefestigt</v>
      </c>
      <c r="J46" s="3"/>
    </row>
    <row r="47" spans="1:10">
      <c r="A47" s="2">
        <v>1</v>
      </c>
      <c r="B47" s="2" t="s">
        <v>29</v>
      </c>
      <c r="C47" s="3" t="s">
        <v>30</v>
      </c>
      <c r="D47" s="3"/>
      <c r="E47" s="3"/>
      <c r="F47" s="3">
        <v>0</v>
      </c>
      <c r="G47" s="2"/>
      <c r="H47" s="3" t="str">
        <f t="shared" si="0"/>
        <v/>
      </c>
      <c r="I47" s="3" t="str">
        <f t="shared" si="1"/>
        <v>Neu</v>
      </c>
      <c r="J47" s="3" t="s">
        <v>31</v>
      </c>
    </row>
    <row r="48" spans="1:10">
      <c r="A48" s="2">
        <v>2</v>
      </c>
      <c r="B48" s="2" t="s">
        <v>32</v>
      </c>
      <c r="C48" s="3" t="s">
        <v>30</v>
      </c>
      <c r="D48" s="3"/>
      <c r="E48" s="3"/>
      <c r="F48" s="3">
        <v>0</v>
      </c>
      <c r="G48" s="25"/>
      <c r="H48" s="3" t="str">
        <f t="shared" si="0"/>
        <v/>
      </c>
      <c r="I48" s="3" t="str">
        <f t="shared" si="1"/>
        <v>Neu</v>
      </c>
      <c r="J48" s="3" t="s">
        <v>31</v>
      </c>
    </row>
    <row r="49" spans="1:10">
      <c r="A49" s="2">
        <v>3</v>
      </c>
      <c r="B49" s="2" t="s">
        <v>33</v>
      </c>
      <c r="C49" s="3" t="s">
        <v>30</v>
      </c>
      <c r="D49" s="3"/>
      <c r="E49" s="3"/>
      <c r="F49" s="3">
        <v>0</v>
      </c>
      <c r="G49" s="25"/>
      <c r="H49" s="3" t="str">
        <f t="shared" si="0"/>
        <v/>
      </c>
      <c r="I49" s="3" t="str">
        <f t="shared" si="1"/>
        <v>Neu</v>
      </c>
      <c r="J49" s="3" t="s">
        <v>31</v>
      </c>
    </row>
    <row r="50" spans="1:10">
      <c r="A50" s="2">
        <v>4</v>
      </c>
      <c r="B50" s="2" t="s">
        <v>34</v>
      </c>
      <c r="C50" s="3" t="s">
        <v>30</v>
      </c>
      <c r="D50" s="3"/>
      <c r="E50" s="3"/>
      <c r="F50" s="3">
        <v>0</v>
      </c>
      <c r="G50" s="2"/>
      <c r="H50" s="3" t="str">
        <f t="shared" si="0"/>
        <v/>
      </c>
      <c r="I50" s="3" t="str">
        <f t="shared" si="1"/>
        <v>Neu</v>
      </c>
      <c r="J50" s="3" t="s">
        <v>31</v>
      </c>
    </row>
    <row r="51" spans="1:10">
      <c r="A51" s="2">
        <v>5</v>
      </c>
      <c r="B51" s="2" t="s">
        <v>35</v>
      </c>
      <c r="C51" s="3" t="s">
        <v>30</v>
      </c>
      <c r="D51" s="3"/>
      <c r="E51" s="3"/>
      <c r="F51" s="3">
        <v>0</v>
      </c>
      <c r="G51" s="2"/>
      <c r="H51" s="3" t="str">
        <f t="shared" si="0"/>
        <v/>
      </c>
      <c r="I51" s="3" t="str">
        <f t="shared" si="1"/>
        <v>Neu</v>
      </c>
      <c r="J51" s="3" t="s">
        <v>31</v>
      </c>
    </row>
    <row r="52" spans="1:10">
      <c r="A52" s="2">
        <v>6</v>
      </c>
      <c r="B52" s="2" t="s">
        <v>36</v>
      </c>
      <c r="C52" s="3" t="s">
        <v>30</v>
      </c>
      <c r="D52" s="3"/>
      <c r="E52" s="3"/>
      <c r="F52" s="3">
        <v>0</v>
      </c>
      <c r="G52" s="2"/>
      <c r="H52" s="3" t="str">
        <f t="shared" si="0"/>
        <v/>
      </c>
      <c r="I52" s="3" t="str">
        <f t="shared" si="1"/>
        <v>Neu</v>
      </c>
      <c r="J52" s="3" t="s">
        <v>31</v>
      </c>
    </row>
    <row r="53" spans="1:10">
      <c r="A53" s="2">
        <v>7</v>
      </c>
      <c r="B53" s="2" t="s">
        <v>37</v>
      </c>
      <c r="C53" s="3" t="s">
        <v>30</v>
      </c>
      <c r="D53" s="3"/>
      <c r="E53" s="3"/>
      <c r="F53" s="3">
        <v>0</v>
      </c>
      <c r="G53" s="25"/>
      <c r="H53" s="3" t="str">
        <f t="shared" si="0"/>
        <v/>
      </c>
      <c r="I53" s="3" t="str">
        <f t="shared" si="1"/>
        <v>Neu</v>
      </c>
      <c r="J53" s="3" t="s">
        <v>31</v>
      </c>
    </row>
    <row r="54" spans="1:10">
      <c r="A54" s="2">
        <v>8</v>
      </c>
      <c r="B54" s="2" t="s">
        <v>38</v>
      </c>
      <c r="C54" s="3" t="s">
        <v>30</v>
      </c>
      <c r="D54" s="3"/>
      <c r="E54" s="3"/>
      <c r="F54" s="3">
        <v>0</v>
      </c>
      <c r="G54" s="2"/>
      <c r="H54" s="3" t="str">
        <f t="shared" si="0"/>
        <v/>
      </c>
      <c r="I54" s="3" t="str">
        <f t="shared" si="1"/>
        <v>Neu</v>
      </c>
      <c r="J54" s="3" t="s">
        <v>31</v>
      </c>
    </row>
    <row r="55" spans="1:10">
      <c r="A55" s="2">
        <v>9</v>
      </c>
      <c r="B55" s="2" t="s">
        <v>39</v>
      </c>
      <c r="C55" s="3" t="s">
        <v>30</v>
      </c>
      <c r="D55" s="3"/>
      <c r="E55" s="3"/>
      <c r="F55" s="3">
        <v>0</v>
      </c>
      <c r="G55" s="2"/>
      <c r="H55" s="3" t="str">
        <f t="shared" si="0"/>
        <v/>
      </c>
      <c r="I55" s="3" t="str">
        <f t="shared" si="1"/>
        <v>Neu</v>
      </c>
      <c r="J55" s="3" t="s">
        <v>31</v>
      </c>
    </row>
    <row r="56" spans="1:10">
      <c r="A56" s="2">
        <v>10</v>
      </c>
      <c r="B56" s="2" t="s">
        <v>40</v>
      </c>
      <c r="C56" s="3" t="s">
        <v>30</v>
      </c>
      <c r="D56" s="3"/>
      <c r="E56" s="3"/>
      <c r="F56" s="3">
        <v>0</v>
      </c>
      <c r="G56" s="25"/>
      <c r="H56" s="3" t="str">
        <f t="shared" si="0"/>
        <v/>
      </c>
      <c r="I56" s="3" t="str">
        <f t="shared" si="1"/>
        <v>Neu</v>
      </c>
      <c r="J56" s="3" t="s">
        <v>31</v>
      </c>
    </row>
    <row r="57" spans="1:10">
      <c r="A57" s="2">
        <v>11</v>
      </c>
      <c r="B57" s="2" t="s">
        <v>41</v>
      </c>
      <c r="C57" s="3" t="s">
        <v>30</v>
      </c>
      <c r="D57" s="3"/>
      <c r="E57" s="3"/>
      <c r="F57" s="3">
        <v>0</v>
      </c>
      <c r="G57" s="2"/>
      <c r="H57" s="3" t="str">
        <f t="shared" si="0"/>
        <v/>
      </c>
      <c r="I57" s="3" t="str">
        <f t="shared" si="1"/>
        <v>Neu</v>
      </c>
      <c r="J57" s="3" t="s">
        <v>31</v>
      </c>
    </row>
    <row r="58" spans="1:10">
      <c r="A58" s="2">
        <v>12</v>
      </c>
      <c r="B58" s="2" t="s">
        <v>42</v>
      </c>
      <c r="C58" s="3" t="s">
        <v>30</v>
      </c>
      <c r="D58" s="3"/>
      <c r="E58" s="3"/>
      <c r="F58" s="3">
        <v>0</v>
      </c>
      <c r="G58" s="2"/>
      <c r="H58" s="3" t="str">
        <f t="shared" si="0"/>
        <v/>
      </c>
      <c r="I58" s="3" t="str">
        <f t="shared" si="1"/>
        <v>Neu</v>
      </c>
      <c r="J58" s="3" t="s">
        <v>31</v>
      </c>
    </row>
    <row r="59" spans="1:10">
      <c r="A59" s="2">
        <v>13</v>
      </c>
      <c r="B59" s="2" t="s">
        <v>43</v>
      </c>
      <c r="C59" s="3" t="s">
        <v>30</v>
      </c>
      <c r="D59" s="3"/>
      <c r="E59" s="3"/>
      <c r="F59" s="3">
        <v>0</v>
      </c>
      <c r="G59" s="2"/>
      <c r="H59" s="3" t="str">
        <f t="shared" si="0"/>
        <v/>
      </c>
      <c r="I59" s="3" t="str">
        <f t="shared" si="1"/>
        <v>Neu</v>
      </c>
      <c r="J59" s="3" t="s">
        <v>31</v>
      </c>
    </row>
    <row r="60" spans="1:10">
      <c r="A60" s="2">
        <v>14</v>
      </c>
      <c r="B60" s="2" t="s">
        <v>44</v>
      </c>
      <c r="C60" s="3" t="s">
        <v>30</v>
      </c>
      <c r="D60" s="3"/>
      <c r="E60" s="3"/>
      <c r="F60" s="3">
        <v>0</v>
      </c>
      <c r="G60" s="2"/>
      <c r="H60" s="3" t="str">
        <f t="shared" si="0"/>
        <v/>
      </c>
      <c r="I60" s="3" t="str">
        <f t="shared" si="1"/>
        <v>Neu</v>
      </c>
      <c r="J60" s="3" t="s">
        <v>31</v>
      </c>
    </row>
    <row r="61" spans="1:10">
      <c r="A61" s="2">
        <v>15</v>
      </c>
      <c r="B61" s="2" t="s">
        <v>45</v>
      </c>
      <c r="C61" s="3" t="s">
        <v>30</v>
      </c>
      <c r="D61" s="3"/>
      <c r="E61" s="3"/>
      <c r="F61" s="3">
        <v>0</v>
      </c>
      <c r="G61" s="2"/>
      <c r="H61" s="3" t="str">
        <f t="shared" si="0"/>
        <v/>
      </c>
      <c r="I61" s="3" t="str">
        <f t="shared" si="1"/>
        <v>Neu</v>
      </c>
      <c r="J61" s="3" t="s">
        <v>31</v>
      </c>
    </row>
    <row r="62" spans="1:10">
      <c r="A62" s="2">
        <v>16</v>
      </c>
      <c r="B62" s="2" t="s">
        <v>46</v>
      </c>
      <c r="C62" s="3" t="s">
        <v>30</v>
      </c>
      <c r="D62" s="3"/>
      <c r="E62" s="3"/>
      <c r="F62" s="3">
        <v>0</v>
      </c>
      <c r="G62" s="2"/>
      <c r="H62" s="3" t="str">
        <f t="shared" si="0"/>
        <v/>
      </c>
      <c r="I62" s="3" t="str">
        <f t="shared" si="1"/>
        <v>Neu</v>
      </c>
      <c r="J62" s="3" t="s">
        <v>31</v>
      </c>
    </row>
    <row r="63" spans="1:10">
      <c r="A63" s="2">
        <v>17</v>
      </c>
      <c r="B63" s="2" t="s">
        <v>47</v>
      </c>
      <c r="C63" s="3" t="s">
        <v>30</v>
      </c>
      <c r="D63" s="3"/>
      <c r="E63" s="3"/>
      <c r="F63" s="3">
        <v>0</v>
      </c>
      <c r="G63" s="2"/>
      <c r="H63" s="3" t="str">
        <f t="shared" si="0"/>
        <v/>
      </c>
      <c r="I63" s="3" t="str">
        <f t="shared" si="1"/>
        <v>Neu</v>
      </c>
      <c r="J63" s="3" t="s">
        <v>31</v>
      </c>
    </row>
    <row r="64" spans="1:10">
      <c r="A64" s="2">
        <v>18</v>
      </c>
      <c r="B64" s="2" t="s">
        <v>48</v>
      </c>
      <c r="C64" s="3" t="s">
        <v>30</v>
      </c>
      <c r="D64" s="3"/>
      <c r="E64" s="3"/>
      <c r="F64" s="3">
        <v>0</v>
      </c>
      <c r="G64" s="2"/>
      <c r="H64" s="3" t="str">
        <f t="shared" si="0"/>
        <v/>
      </c>
      <c r="I64" s="3" t="str">
        <f t="shared" si="1"/>
        <v>Neu</v>
      </c>
      <c r="J64" s="3" t="s">
        <v>31</v>
      </c>
    </row>
    <row r="65" spans="1:10">
      <c r="A65" s="2">
        <v>19</v>
      </c>
      <c r="B65" s="2" t="s">
        <v>49</v>
      </c>
      <c r="C65" s="3" t="s">
        <v>30</v>
      </c>
      <c r="D65" s="3"/>
      <c r="E65" s="3"/>
      <c r="F65" s="3">
        <v>0</v>
      </c>
      <c r="G65" s="25"/>
      <c r="H65" s="3" t="str">
        <f t="shared" si="0"/>
        <v/>
      </c>
      <c r="I65" s="3" t="str">
        <f t="shared" si="1"/>
        <v>Neu</v>
      </c>
      <c r="J65" s="3" t="s">
        <v>31</v>
      </c>
    </row>
    <row r="66" spans="1:10">
      <c r="A66" s="2">
        <v>20</v>
      </c>
      <c r="B66" s="2" t="s">
        <v>50</v>
      </c>
      <c r="C66" s="3" t="s">
        <v>30</v>
      </c>
      <c r="D66" s="3"/>
      <c r="E66" s="3"/>
      <c r="F66" s="3">
        <v>0</v>
      </c>
      <c r="G66" s="25"/>
      <c r="H66" s="3" t="str">
        <f t="shared" ref="H66:H129" si="2">IF(AND(E66&lt;&gt;"",D66&lt;&gt;""),IF(E66&gt;=9,D66+30,IF(E66&gt;=7,D66+14,IF(E66&gt;=5,D66+7,IF(E66&gt;=3,D66+3,D66+1)))),"")</f>
        <v/>
      </c>
      <c r="I66" s="3" t="str">
        <f t="shared" ref="I66:I129" si="3">IF(F66=0,"Neu",IF(AND(E66&gt;=9,F66&gt;=3),"Gemeistert",IF(E66&gt;=9,"Gefestigt",IF(E66&gt;=5,"In Arbeit","Ausbaufähig"))))</f>
        <v>Neu</v>
      </c>
      <c r="J66" s="3" t="s">
        <v>31</v>
      </c>
    </row>
    <row r="67" spans="1:10">
      <c r="A67" s="2">
        <v>21</v>
      </c>
      <c r="B67" s="2" t="s">
        <v>51</v>
      </c>
      <c r="C67" s="3" t="s">
        <v>30</v>
      </c>
      <c r="D67" s="3"/>
      <c r="E67" s="3"/>
      <c r="F67" s="3">
        <v>0</v>
      </c>
      <c r="G67" s="2"/>
      <c r="H67" s="3" t="str">
        <f t="shared" si="2"/>
        <v/>
      </c>
      <c r="I67" s="3" t="str">
        <f t="shared" si="3"/>
        <v>Neu</v>
      </c>
      <c r="J67" s="3" t="s">
        <v>31</v>
      </c>
    </row>
    <row r="68" spans="1:10">
      <c r="A68" s="2">
        <v>22</v>
      </c>
      <c r="B68" s="2" t="s">
        <v>52</v>
      </c>
      <c r="C68" s="3" t="s">
        <v>30</v>
      </c>
      <c r="D68" s="3"/>
      <c r="E68" s="3"/>
      <c r="F68" s="3">
        <v>0</v>
      </c>
      <c r="G68" s="2"/>
      <c r="H68" s="3" t="str">
        <f t="shared" si="2"/>
        <v/>
      </c>
      <c r="I68" s="3" t="str">
        <f t="shared" si="3"/>
        <v>Neu</v>
      </c>
      <c r="J68" s="3" t="s">
        <v>31</v>
      </c>
    </row>
    <row r="69" spans="1:10">
      <c r="A69" s="2">
        <v>23</v>
      </c>
      <c r="B69" s="2" t="s">
        <v>53</v>
      </c>
      <c r="C69" s="3" t="s">
        <v>30</v>
      </c>
      <c r="D69" s="3"/>
      <c r="E69" s="3"/>
      <c r="F69" s="3">
        <v>0</v>
      </c>
      <c r="G69" s="2"/>
      <c r="H69" s="3" t="str">
        <f t="shared" si="2"/>
        <v/>
      </c>
      <c r="I69" s="3" t="str">
        <f t="shared" si="3"/>
        <v>Neu</v>
      </c>
      <c r="J69" s="3" t="s">
        <v>31</v>
      </c>
    </row>
    <row r="70" spans="1:10">
      <c r="A70" s="2">
        <v>24</v>
      </c>
      <c r="B70" s="2" t="s">
        <v>54</v>
      </c>
      <c r="C70" s="3" t="s">
        <v>30</v>
      </c>
      <c r="D70" s="3"/>
      <c r="E70" s="3"/>
      <c r="F70" s="3">
        <v>0</v>
      </c>
      <c r="G70" s="25"/>
      <c r="H70" s="3" t="str">
        <f t="shared" si="2"/>
        <v/>
      </c>
      <c r="I70" s="3" t="str">
        <f t="shared" si="3"/>
        <v>Neu</v>
      </c>
      <c r="J70" s="3" t="s">
        <v>31</v>
      </c>
    </row>
    <row r="71" spans="1:10">
      <c r="A71" s="2">
        <v>25</v>
      </c>
      <c r="B71" s="2" t="s">
        <v>55</v>
      </c>
      <c r="C71" s="3" t="s">
        <v>30</v>
      </c>
      <c r="D71" s="3"/>
      <c r="E71" s="3"/>
      <c r="F71" s="3">
        <v>0</v>
      </c>
      <c r="G71" s="2"/>
      <c r="H71" s="3" t="str">
        <f t="shared" si="2"/>
        <v/>
      </c>
      <c r="I71" s="3" t="str">
        <f t="shared" si="3"/>
        <v>Neu</v>
      </c>
      <c r="J71" s="3" t="s">
        <v>31</v>
      </c>
    </row>
    <row r="72" spans="1:10">
      <c r="A72" s="2">
        <v>26</v>
      </c>
      <c r="B72" s="2" t="s">
        <v>56</v>
      </c>
      <c r="C72" s="3" t="s">
        <v>30</v>
      </c>
      <c r="D72" s="3"/>
      <c r="E72" s="3"/>
      <c r="F72" s="3">
        <v>0</v>
      </c>
      <c r="G72" s="2"/>
      <c r="H72" s="3" t="str">
        <f t="shared" si="2"/>
        <v/>
      </c>
      <c r="I72" s="3" t="str">
        <f t="shared" si="3"/>
        <v>Neu</v>
      </c>
      <c r="J72" s="3" t="s">
        <v>31</v>
      </c>
    </row>
    <row r="73" spans="1:10">
      <c r="A73" s="2">
        <v>28</v>
      </c>
      <c r="B73" s="2" t="s">
        <v>58</v>
      </c>
      <c r="C73" s="3" t="s">
        <v>30</v>
      </c>
      <c r="D73" s="3"/>
      <c r="E73" s="3"/>
      <c r="F73" s="3">
        <v>0</v>
      </c>
      <c r="G73" s="2"/>
      <c r="H73" s="3" t="str">
        <f t="shared" si="2"/>
        <v/>
      </c>
      <c r="I73" s="3" t="str">
        <f t="shared" si="3"/>
        <v>Neu</v>
      </c>
      <c r="J73" s="3" t="s">
        <v>31</v>
      </c>
    </row>
    <row r="74" spans="1:10">
      <c r="A74" s="2">
        <v>31</v>
      </c>
      <c r="B74" s="2" t="s">
        <v>61</v>
      </c>
      <c r="C74" s="3" t="s">
        <v>30</v>
      </c>
      <c r="D74" s="3"/>
      <c r="E74" s="3"/>
      <c r="F74" s="3">
        <v>0</v>
      </c>
      <c r="G74" s="2"/>
      <c r="H74" s="3" t="str">
        <f t="shared" si="2"/>
        <v/>
      </c>
      <c r="I74" s="3" t="str">
        <f t="shared" si="3"/>
        <v>Neu</v>
      </c>
      <c r="J74" s="3" t="s">
        <v>31</v>
      </c>
    </row>
    <row r="75" spans="1:10">
      <c r="A75" s="2">
        <v>33</v>
      </c>
      <c r="B75" s="2" t="s">
        <v>63</v>
      </c>
      <c r="C75" s="3" t="s">
        <v>30</v>
      </c>
      <c r="D75" s="3"/>
      <c r="E75" s="3"/>
      <c r="F75" s="3">
        <v>0</v>
      </c>
      <c r="G75" s="2"/>
      <c r="H75" s="3" t="str">
        <f t="shared" si="2"/>
        <v/>
      </c>
      <c r="I75" s="3" t="str">
        <f t="shared" si="3"/>
        <v>Neu</v>
      </c>
      <c r="J75" s="3" t="s">
        <v>31</v>
      </c>
    </row>
    <row r="76" spans="1:10">
      <c r="A76" s="2">
        <v>34</v>
      </c>
      <c r="B76" s="2" t="s">
        <v>64</v>
      </c>
      <c r="C76" s="3" t="s">
        <v>30</v>
      </c>
      <c r="D76" s="3"/>
      <c r="E76" s="3"/>
      <c r="F76" s="3">
        <v>0</v>
      </c>
      <c r="G76" s="2"/>
      <c r="H76" s="3" t="str">
        <f t="shared" si="2"/>
        <v/>
      </c>
      <c r="I76" s="3" t="str">
        <f t="shared" si="3"/>
        <v>Neu</v>
      </c>
      <c r="J76" s="3" t="s">
        <v>31</v>
      </c>
    </row>
    <row r="77" spans="1:10">
      <c r="A77" s="2">
        <v>35</v>
      </c>
      <c r="B77" s="2" t="s">
        <v>65</v>
      </c>
      <c r="C77" s="3" t="s">
        <v>30</v>
      </c>
      <c r="D77" s="3"/>
      <c r="E77" s="3"/>
      <c r="F77" s="3">
        <v>0</v>
      </c>
      <c r="G77" s="25"/>
      <c r="H77" s="3" t="str">
        <f t="shared" si="2"/>
        <v/>
      </c>
      <c r="I77" s="3" t="str">
        <f t="shared" si="3"/>
        <v>Neu</v>
      </c>
      <c r="J77" s="3" t="s">
        <v>31</v>
      </c>
    </row>
    <row r="78" spans="1:10">
      <c r="A78" s="2">
        <v>36</v>
      </c>
      <c r="B78" s="2" t="s">
        <v>66</v>
      </c>
      <c r="C78" s="3" t="s">
        <v>30</v>
      </c>
      <c r="D78" s="3"/>
      <c r="E78" s="3"/>
      <c r="F78" s="3">
        <v>0</v>
      </c>
      <c r="G78" s="2"/>
      <c r="H78" s="3" t="str">
        <f t="shared" si="2"/>
        <v/>
      </c>
      <c r="I78" s="3" t="str">
        <f t="shared" si="3"/>
        <v>Neu</v>
      </c>
      <c r="J78" s="3" t="s">
        <v>31</v>
      </c>
    </row>
    <row r="79" spans="1:10">
      <c r="A79" s="2">
        <v>37</v>
      </c>
      <c r="B79" s="2" t="s">
        <v>67</v>
      </c>
      <c r="C79" s="3" t="s">
        <v>30</v>
      </c>
      <c r="D79" s="3"/>
      <c r="E79" s="3"/>
      <c r="F79" s="3">
        <v>0</v>
      </c>
      <c r="G79" s="2"/>
      <c r="H79" s="3" t="str">
        <f t="shared" si="2"/>
        <v/>
      </c>
      <c r="I79" s="3" t="str">
        <f t="shared" si="3"/>
        <v>Neu</v>
      </c>
      <c r="J79" s="3" t="s">
        <v>31</v>
      </c>
    </row>
    <row r="80" spans="1:10">
      <c r="A80" s="2">
        <v>38</v>
      </c>
      <c r="B80" s="2" t="s">
        <v>68</v>
      </c>
      <c r="C80" s="3" t="s">
        <v>69</v>
      </c>
      <c r="D80" s="3"/>
      <c r="E80" s="3"/>
      <c r="F80" s="3">
        <v>0</v>
      </c>
      <c r="G80" s="2"/>
      <c r="H80" s="3" t="str">
        <f t="shared" si="2"/>
        <v/>
      </c>
      <c r="I80" s="3" t="str">
        <f t="shared" si="3"/>
        <v>Neu</v>
      </c>
      <c r="J80" s="3" t="s">
        <v>31</v>
      </c>
    </row>
    <row r="81" spans="1:10">
      <c r="A81" s="2">
        <v>39</v>
      </c>
      <c r="B81" s="2" t="s">
        <v>70</v>
      </c>
      <c r="C81" s="3" t="s">
        <v>69</v>
      </c>
      <c r="D81" s="3"/>
      <c r="E81" s="3"/>
      <c r="F81" s="3">
        <v>0</v>
      </c>
      <c r="G81" s="2"/>
      <c r="H81" s="3" t="str">
        <f t="shared" si="2"/>
        <v/>
      </c>
      <c r="I81" s="3" t="str">
        <f t="shared" si="3"/>
        <v>Neu</v>
      </c>
      <c r="J81" s="3" t="s">
        <v>31</v>
      </c>
    </row>
    <row r="82" spans="1:10">
      <c r="A82" s="2">
        <v>40</v>
      </c>
      <c r="B82" s="2" t="s">
        <v>71</v>
      </c>
      <c r="C82" s="3" t="s">
        <v>69</v>
      </c>
      <c r="D82" s="3"/>
      <c r="E82" s="3"/>
      <c r="F82" s="3">
        <v>0</v>
      </c>
      <c r="G82" s="2"/>
      <c r="H82" s="3" t="str">
        <f t="shared" si="2"/>
        <v/>
      </c>
      <c r="I82" s="3" t="str">
        <f t="shared" si="3"/>
        <v>Neu</v>
      </c>
      <c r="J82" s="3" t="s">
        <v>31</v>
      </c>
    </row>
    <row r="83" spans="1:10">
      <c r="A83" s="2">
        <v>41</v>
      </c>
      <c r="B83" s="2" t="s">
        <v>72</v>
      </c>
      <c r="C83" s="3" t="s">
        <v>69</v>
      </c>
      <c r="D83" s="3"/>
      <c r="E83" s="3"/>
      <c r="F83" s="3">
        <v>0</v>
      </c>
      <c r="G83" s="2"/>
      <c r="H83" s="3" t="str">
        <f t="shared" si="2"/>
        <v/>
      </c>
      <c r="I83" s="3" t="str">
        <f t="shared" si="3"/>
        <v>Neu</v>
      </c>
      <c r="J83" s="3" t="s">
        <v>31</v>
      </c>
    </row>
    <row r="84" spans="1:10">
      <c r="A84" s="2">
        <v>42</v>
      </c>
      <c r="B84" s="2" t="s">
        <v>73</v>
      </c>
      <c r="C84" s="3" t="s">
        <v>69</v>
      </c>
      <c r="D84" s="3"/>
      <c r="E84" s="3"/>
      <c r="F84" s="3">
        <v>0</v>
      </c>
      <c r="G84" s="2"/>
      <c r="H84" s="3" t="str">
        <f t="shared" si="2"/>
        <v/>
      </c>
      <c r="I84" s="3" t="str">
        <f t="shared" si="3"/>
        <v>Neu</v>
      </c>
      <c r="J84" s="3" t="s">
        <v>31</v>
      </c>
    </row>
    <row r="85" spans="1:10">
      <c r="A85" s="2">
        <v>43</v>
      </c>
      <c r="B85" s="2" t="s">
        <v>74</v>
      </c>
      <c r="C85" s="3" t="s">
        <v>69</v>
      </c>
      <c r="D85" s="3"/>
      <c r="E85" s="3"/>
      <c r="F85" s="3">
        <v>0</v>
      </c>
      <c r="G85" s="25"/>
      <c r="H85" s="3" t="str">
        <f t="shared" si="2"/>
        <v/>
      </c>
      <c r="I85" s="3" t="str">
        <f t="shared" si="3"/>
        <v>Neu</v>
      </c>
      <c r="J85" s="3" t="s">
        <v>31</v>
      </c>
    </row>
    <row r="86" spans="1:10">
      <c r="A86" s="2">
        <v>44</v>
      </c>
      <c r="B86" s="2" t="s">
        <v>75</v>
      </c>
      <c r="C86" s="3" t="s">
        <v>69</v>
      </c>
      <c r="D86" s="3"/>
      <c r="E86" s="3"/>
      <c r="F86" s="3">
        <v>0</v>
      </c>
      <c r="G86" s="2"/>
      <c r="H86" s="3" t="str">
        <f t="shared" si="2"/>
        <v/>
      </c>
      <c r="I86" s="3" t="str">
        <f t="shared" si="3"/>
        <v>Neu</v>
      </c>
      <c r="J86" s="3" t="s">
        <v>31</v>
      </c>
    </row>
    <row r="87" spans="1:10">
      <c r="A87" s="2">
        <v>50</v>
      </c>
      <c r="B87" s="2" t="s">
        <v>81</v>
      </c>
      <c r="C87" s="3" t="s">
        <v>69</v>
      </c>
      <c r="D87" s="3"/>
      <c r="E87" s="3"/>
      <c r="F87" s="3">
        <v>0</v>
      </c>
      <c r="G87" s="2"/>
      <c r="H87" s="3" t="str">
        <f t="shared" si="2"/>
        <v/>
      </c>
      <c r="I87" s="3" t="str">
        <f t="shared" si="3"/>
        <v>Neu</v>
      </c>
      <c r="J87" s="3" t="s">
        <v>31</v>
      </c>
    </row>
    <row r="88" spans="1:10">
      <c r="A88" s="2">
        <v>51</v>
      </c>
      <c r="B88" s="2" t="s">
        <v>82</v>
      </c>
      <c r="C88" s="3" t="s">
        <v>69</v>
      </c>
      <c r="D88" s="3"/>
      <c r="E88" s="3"/>
      <c r="F88" s="3">
        <v>0</v>
      </c>
      <c r="G88" s="25"/>
      <c r="H88" s="3" t="str">
        <f t="shared" si="2"/>
        <v/>
      </c>
      <c r="I88" s="3" t="str">
        <f t="shared" si="3"/>
        <v>Neu</v>
      </c>
      <c r="J88" s="3" t="s">
        <v>31</v>
      </c>
    </row>
    <row r="89" spans="1:10">
      <c r="A89" s="2">
        <v>52</v>
      </c>
      <c r="B89" s="2" t="s">
        <v>83</v>
      </c>
      <c r="C89" s="3" t="s">
        <v>69</v>
      </c>
      <c r="D89" s="3"/>
      <c r="E89" s="3"/>
      <c r="F89" s="3">
        <v>0</v>
      </c>
      <c r="G89" s="2"/>
      <c r="H89" s="3" t="str">
        <f t="shared" si="2"/>
        <v/>
      </c>
      <c r="I89" s="3" t="str">
        <f t="shared" si="3"/>
        <v>Neu</v>
      </c>
      <c r="J89" s="3" t="s">
        <v>31</v>
      </c>
    </row>
    <row r="90" spans="1:10">
      <c r="A90" s="2">
        <v>53</v>
      </c>
      <c r="B90" s="2" t="s">
        <v>84</v>
      </c>
      <c r="C90" s="3" t="s">
        <v>69</v>
      </c>
      <c r="D90" s="3"/>
      <c r="E90" s="3"/>
      <c r="F90" s="3">
        <v>0</v>
      </c>
      <c r="G90" s="2"/>
      <c r="H90" s="3" t="str">
        <f t="shared" si="2"/>
        <v/>
      </c>
      <c r="I90" s="3" t="str">
        <f t="shared" si="3"/>
        <v>Neu</v>
      </c>
      <c r="J90" s="3" t="s">
        <v>31</v>
      </c>
    </row>
    <row r="91" spans="1:10">
      <c r="A91" s="2">
        <v>54</v>
      </c>
      <c r="B91" s="2" t="s">
        <v>85</v>
      </c>
      <c r="C91" s="3" t="s">
        <v>69</v>
      </c>
      <c r="D91" s="3"/>
      <c r="E91" s="3"/>
      <c r="F91" s="3">
        <v>0</v>
      </c>
      <c r="G91" s="25"/>
      <c r="H91" s="3" t="str">
        <f t="shared" si="2"/>
        <v/>
      </c>
      <c r="I91" s="3" t="str">
        <f t="shared" si="3"/>
        <v>Neu</v>
      </c>
      <c r="J91" s="3" t="s">
        <v>31</v>
      </c>
    </row>
    <row r="92" spans="1:10">
      <c r="A92" s="2">
        <v>56</v>
      </c>
      <c r="B92" s="2" t="s">
        <v>87</v>
      </c>
      <c r="C92" s="3" t="s">
        <v>69</v>
      </c>
      <c r="D92" s="3"/>
      <c r="E92" s="3"/>
      <c r="F92" s="3">
        <v>0</v>
      </c>
      <c r="G92" s="25"/>
      <c r="H92" s="3" t="str">
        <f t="shared" si="2"/>
        <v/>
      </c>
      <c r="I92" s="3" t="str">
        <f t="shared" si="3"/>
        <v>Neu</v>
      </c>
      <c r="J92" s="3" t="s">
        <v>31</v>
      </c>
    </row>
    <row r="93" spans="1:10">
      <c r="A93" s="2">
        <v>57</v>
      </c>
      <c r="B93" s="2" t="s">
        <v>88</v>
      </c>
      <c r="C93" s="3" t="s">
        <v>69</v>
      </c>
      <c r="D93" s="3"/>
      <c r="E93" s="3"/>
      <c r="F93" s="3">
        <v>0</v>
      </c>
      <c r="G93" s="2"/>
      <c r="H93" s="3" t="str">
        <f t="shared" si="2"/>
        <v/>
      </c>
      <c r="I93" s="3" t="str">
        <f t="shared" si="3"/>
        <v>Neu</v>
      </c>
      <c r="J93" s="3" t="s">
        <v>31</v>
      </c>
    </row>
    <row r="94" spans="1:10">
      <c r="A94" s="2">
        <v>58</v>
      </c>
      <c r="B94" s="2" t="s">
        <v>89</v>
      </c>
      <c r="C94" s="3" t="s">
        <v>69</v>
      </c>
      <c r="D94" s="3"/>
      <c r="E94" s="3"/>
      <c r="F94" s="3">
        <v>0</v>
      </c>
      <c r="G94" s="25"/>
      <c r="H94" s="3" t="str">
        <f t="shared" si="2"/>
        <v/>
      </c>
      <c r="I94" s="3" t="str">
        <f t="shared" si="3"/>
        <v>Neu</v>
      </c>
      <c r="J94" s="3" t="s">
        <v>31</v>
      </c>
    </row>
    <row r="95" spans="1:10">
      <c r="A95" s="2">
        <v>59</v>
      </c>
      <c r="B95" s="2" t="s">
        <v>90</v>
      </c>
      <c r="C95" s="3" t="s">
        <v>69</v>
      </c>
      <c r="D95" s="3"/>
      <c r="E95" s="3"/>
      <c r="F95" s="3">
        <v>0</v>
      </c>
      <c r="G95" s="25"/>
      <c r="H95" s="3" t="str">
        <f t="shared" si="2"/>
        <v/>
      </c>
      <c r="I95" s="3" t="str">
        <f t="shared" si="3"/>
        <v>Neu</v>
      </c>
      <c r="J95" s="3" t="s">
        <v>31</v>
      </c>
    </row>
    <row r="96" spans="1:10">
      <c r="A96" s="2">
        <v>60</v>
      </c>
      <c r="B96" s="2" t="s">
        <v>91</v>
      </c>
      <c r="C96" s="3" t="s">
        <v>69</v>
      </c>
      <c r="D96" s="3"/>
      <c r="E96" s="3"/>
      <c r="F96" s="3">
        <v>0</v>
      </c>
      <c r="G96" s="25"/>
      <c r="H96" s="3" t="str">
        <f t="shared" si="2"/>
        <v/>
      </c>
      <c r="I96" s="3" t="str">
        <f t="shared" si="3"/>
        <v>Neu</v>
      </c>
      <c r="J96" s="3" t="s">
        <v>31</v>
      </c>
    </row>
    <row r="97" spans="1:10">
      <c r="A97" s="2">
        <v>61</v>
      </c>
      <c r="B97" s="2" t="s">
        <v>92</v>
      </c>
      <c r="C97" s="3" t="s">
        <v>69</v>
      </c>
      <c r="D97" s="3"/>
      <c r="E97" s="3"/>
      <c r="F97" s="3">
        <v>0</v>
      </c>
      <c r="G97" s="25"/>
      <c r="H97" s="3" t="str">
        <f t="shared" si="2"/>
        <v/>
      </c>
      <c r="I97" s="3" t="str">
        <f t="shared" si="3"/>
        <v>Neu</v>
      </c>
      <c r="J97" s="3" t="s">
        <v>31</v>
      </c>
    </row>
    <row r="98" spans="1:10">
      <c r="A98" s="2">
        <v>62</v>
      </c>
      <c r="B98" s="2" t="s">
        <v>93</v>
      </c>
      <c r="C98" s="3" t="s">
        <v>69</v>
      </c>
      <c r="D98" s="3"/>
      <c r="E98" s="3"/>
      <c r="F98" s="3">
        <v>0</v>
      </c>
      <c r="G98" s="2"/>
      <c r="H98" s="3" t="str">
        <f t="shared" si="2"/>
        <v/>
      </c>
      <c r="I98" s="3" t="str">
        <f t="shared" si="3"/>
        <v>Neu</v>
      </c>
      <c r="J98" s="3" t="s">
        <v>31</v>
      </c>
    </row>
    <row r="99" spans="1:10">
      <c r="A99" s="2">
        <v>63</v>
      </c>
      <c r="B99" s="2" t="s">
        <v>94</v>
      </c>
      <c r="C99" s="3" t="s">
        <v>69</v>
      </c>
      <c r="D99" s="3"/>
      <c r="E99" s="3"/>
      <c r="F99" s="3">
        <v>0</v>
      </c>
      <c r="G99" s="2"/>
      <c r="H99" s="3" t="str">
        <f t="shared" si="2"/>
        <v/>
      </c>
      <c r="I99" s="3" t="str">
        <f t="shared" si="3"/>
        <v>Neu</v>
      </c>
      <c r="J99" s="3" t="s">
        <v>31</v>
      </c>
    </row>
    <row r="100" spans="1:10">
      <c r="A100" s="2">
        <v>64</v>
      </c>
      <c r="B100" s="2" t="s">
        <v>95</v>
      </c>
      <c r="C100" s="3" t="s">
        <v>69</v>
      </c>
      <c r="D100" s="3"/>
      <c r="E100" s="3"/>
      <c r="F100" s="3">
        <v>0</v>
      </c>
      <c r="G100" s="2"/>
      <c r="H100" s="3" t="str">
        <f t="shared" si="2"/>
        <v/>
      </c>
      <c r="I100" s="3" t="str">
        <f t="shared" si="3"/>
        <v>Neu</v>
      </c>
      <c r="J100" s="3" t="s">
        <v>31</v>
      </c>
    </row>
    <row r="101" spans="1:10">
      <c r="A101" s="2">
        <v>65</v>
      </c>
      <c r="B101" s="2" t="s">
        <v>96</v>
      </c>
      <c r="C101" s="3" t="s">
        <v>69</v>
      </c>
      <c r="D101" s="3"/>
      <c r="E101" s="3"/>
      <c r="F101" s="3">
        <v>0</v>
      </c>
      <c r="G101" s="2"/>
      <c r="H101" s="3" t="str">
        <f t="shared" si="2"/>
        <v/>
      </c>
      <c r="I101" s="3" t="str">
        <f t="shared" si="3"/>
        <v>Neu</v>
      </c>
      <c r="J101" s="3" t="s">
        <v>31</v>
      </c>
    </row>
    <row r="102" spans="1:10">
      <c r="A102" s="2">
        <v>67</v>
      </c>
      <c r="B102" s="2" t="s">
        <v>98</v>
      </c>
      <c r="C102" s="3" t="s">
        <v>69</v>
      </c>
      <c r="D102" s="3"/>
      <c r="E102" s="3"/>
      <c r="F102" s="3">
        <v>0</v>
      </c>
      <c r="G102" s="2"/>
      <c r="H102" s="3" t="str">
        <f t="shared" si="2"/>
        <v/>
      </c>
      <c r="I102" s="3" t="str">
        <f t="shared" si="3"/>
        <v>Neu</v>
      </c>
      <c r="J102" s="3" t="s">
        <v>31</v>
      </c>
    </row>
    <row r="103" spans="1:10">
      <c r="A103" s="2">
        <v>68</v>
      </c>
      <c r="B103" s="2" t="s">
        <v>99</v>
      </c>
      <c r="C103" s="3" t="s">
        <v>69</v>
      </c>
      <c r="D103" s="3"/>
      <c r="E103" s="3"/>
      <c r="F103" s="3">
        <v>0</v>
      </c>
      <c r="G103" s="2"/>
      <c r="H103" s="3" t="str">
        <f t="shared" si="2"/>
        <v/>
      </c>
      <c r="I103" s="3" t="str">
        <f t="shared" si="3"/>
        <v>Neu</v>
      </c>
      <c r="J103" s="3" t="s">
        <v>31</v>
      </c>
    </row>
    <row r="104" spans="1:10">
      <c r="A104" s="2">
        <v>70</v>
      </c>
      <c r="B104" s="2" t="s">
        <v>101</v>
      </c>
      <c r="C104" s="3" t="s">
        <v>69</v>
      </c>
      <c r="D104" s="3"/>
      <c r="E104" s="3"/>
      <c r="F104" s="3">
        <v>0</v>
      </c>
      <c r="G104" s="2"/>
      <c r="H104" s="3" t="str">
        <f t="shared" si="2"/>
        <v/>
      </c>
      <c r="I104" s="3" t="str">
        <f t="shared" si="3"/>
        <v>Neu</v>
      </c>
      <c r="J104" s="3" t="s">
        <v>31</v>
      </c>
    </row>
    <row r="105" spans="1:10">
      <c r="A105" s="2">
        <v>71</v>
      </c>
      <c r="B105" s="2" t="s">
        <v>102</v>
      </c>
      <c r="C105" s="3" t="s">
        <v>69</v>
      </c>
      <c r="D105" s="3"/>
      <c r="E105" s="3"/>
      <c r="F105" s="3">
        <v>0</v>
      </c>
      <c r="G105" s="2"/>
      <c r="H105" s="3" t="str">
        <f t="shared" si="2"/>
        <v/>
      </c>
      <c r="I105" s="3" t="str">
        <f t="shared" si="3"/>
        <v>Neu</v>
      </c>
      <c r="J105" s="3" t="s">
        <v>31</v>
      </c>
    </row>
    <row r="106" spans="1:10">
      <c r="A106" s="2">
        <v>72</v>
      </c>
      <c r="B106" s="2" t="s">
        <v>103</v>
      </c>
      <c r="C106" s="3" t="s">
        <v>69</v>
      </c>
      <c r="D106" s="3"/>
      <c r="E106" s="3"/>
      <c r="F106" s="3">
        <v>0</v>
      </c>
      <c r="G106" s="25"/>
      <c r="H106" s="3" t="str">
        <f t="shared" si="2"/>
        <v/>
      </c>
      <c r="I106" s="3" t="str">
        <f t="shared" si="3"/>
        <v>Neu</v>
      </c>
      <c r="J106" s="3" t="s">
        <v>31</v>
      </c>
    </row>
    <row r="107" spans="1:10">
      <c r="A107" s="2">
        <v>73</v>
      </c>
      <c r="B107" s="2" t="s">
        <v>104</v>
      </c>
      <c r="C107" s="3" t="s">
        <v>69</v>
      </c>
      <c r="D107" s="3"/>
      <c r="E107" s="3"/>
      <c r="F107" s="3">
        <v>0</v>
      </c>
      <c r="G107" s="2"/>
      <c r="H107" s="3" t="str">
        <f t="shared" si="2"/>
        <v/>
      </c>
      <c r="I107" s="3" t="str">
        <f t="shared" si="3"/>
        <v>Neu</v>
      </c>
      <c r="J107" s="3" t="s">
        <v>31</v>
      </c>
    </row>
    <row r="108" spans="1:10">
      <c r="A108" s="2">
        <v>79</v>
      </c>
      <c r="B108" s="2" t="s">
        <v>111</v>
      </c>
      <c r="C108" s="3" t="s">
        <v>106</v>
      </c>
      <c r="D108" s="3"/>
      <c r="E108" s="3"/>
      <c r="F108" s="3">
        <v>0</v>
      </c>
      <c r="G108" s="2"/>
      <c r="H108" s="3" t="str">
        <f t="shared" si="2"/>
        <v/>
      </c>
      <c r="I108" s="3" t="str">
        <f t="shared" si="3"/>
        <v>Neu</v>
      </c>
      <c r="J108" s="3" t="s">
        <v>31</v>
      </c>
    </row>
    <row r="109" spans="1:10">
      <c r="A109" s="2">
        <v>80</v>
      </c>
      <c r="B109" s="2" t="s">
        <v>112</v>
      </c>
      <c r="C109" s="3" t="s">
        <v>106</v>
      </c>
      <c r="D109" s="3"/>
      <c r="E109" s="3"/>
      <c r="F109" s="3">
        <v>0</v>
      </c>
      <c r="G109" s="2"/>
      <c r="H109" s="3" t="str">
        <f t="shared" si="2"/>
        <v/>
      </c>
      <c r="I109" s="3" t="str">
        <f t="shared" si="3"/>
        <v>Neu</v>
      </c>
      <c r="J109" s="3" t="s">
        <v>31</v>
      </c>
    </row>
    <row r="110" spans="1:10">
      <c r="A110" s="2">
        <v>85</v>
      </c>
      <c r="B110" s="2" t="s">
        <v>117</v>
      </c>
      <c r="C110" s="3" t="s">
        <v>106</v>
      </c>
      <c r="D110" s="3"/>
      <c r="E110" s="3"/>
      <c r="F110" s="3">
        <v>0</v>
      </c>
      <c r="G110" s="2"/>
      <c r="H110" s="3" t="str">
        <f t="shared" si="2"/>
        <v/>
      </c>
      <c r="I110" s="3" t="str">
        <f t="shared" si="3"/>
        <v>Neu</v>
      </c>
      <c r="J110" s="3" t="s">
        <v>31</v>
      </c>
    </row>
    <row r="111" spans="1:10">
      <c r="A111" s="2">
        <v>86</v>
      </c>
      <c r="B111" s="2" t="s">
        <v>118</v>
      </c>
      <c r="C111" s="3" t="s">
        <v>106</v>
      </c>
      <c r="D111" s="3"/>
      <c r="E111" s="3"/>
      <c r="F111" s="3">
        <v>0</v>
      </c>
      <c r="G111" s="25"/>
      <c r="H111" s="3" t="str">
        <f t="shared" si="2"/>
        <v/>
      </c>
      <c r="I111" s="3" t="str">
        <f t="shared" si="3"/>
        <v>Neu</v>
      </c>
      <c r="J111" s="3" t="s">
        <v>31</v>
      </c>
    </row>
    <row r="112" spans="1:10">
      <c r="A112" s="2">
        <v>87</v>
      </c>
      <c r="B112" s="2" t="s">
        <v>119</v>
      </c>
      <c r="C112" s="3" t="s">
        <v>106</v>
      </c>
      <c r="D112" s="3"/>
      <c r="E112" s="3"/>
      <c r="F112" s="3">
        <v>0</v>
      </c>
      <c r="G112" s="2"/>
      <c r="H112" s="3" t="str">
        <f t="shared" si="2"/>
        <v/>
      </c>
      <c r="I112" s="3" t="str">
        <f t="shared" si="3"/>
        <v>Neu</v>
      </c>
      <c r="J112" s="3" t="s">
        <v>31</v>
      </c>
    </row>
    <row r="113" spans="1:10">
      <c r="A113" s="2">
        <v>88</v>
      </c>
      <c r="B113" s="2" t="s">
        <v>120</v>
      </c>
      <c r="C113" s="3" t="s">
        <v>106</v>
      </c>
      <c r="D113" s="3"/>
      <c r="E113" s="3"/>
      <c r="F113" s="3">
        <v>0</v>
      </c>
      <c r="G113" s="25"/>
      <c r="H113" s="3" t="str">
        <f t="shared" si="2"/>
        <v/>
      </c>
      <c r="I113" s="3" t="str">
        <f t="shared" si="3"/>
        <v>Neu</v>
      </c>
      <c r="J113" s="3" t="s">
        <v>31</v>
      </c>
    </row>
    <row r="114" spans="1:10">
      <c r="A114" s="2">
        <v>90</v>
      </c>
      <c r="B114" s="2" t="s">
        <v>122</v>
      </c>
      <c r="C114" s="3" t="s">
        <v>106</v>
      </c>
      <c r="D114" s="3"/>
      <c r="E114" s="3"/>
      <c r="F114" s="3">
        <v>0</v>
      </c>
      <c r="G114" s="25"/>
      <c r="H114" s="3" t="str">
        <f t="shared" si="2"/>
        <v/>
      </c>
      <c r="I114" s="3" t="str">
        <f t="shared" si="3"/>
        <v>Neu</v>
      </c>
      <c r="J114" s="3" t="s">
        <v>31</v>
      </c>
    </row>
    <row r="115" spans="1:10">
      <c r="A115" s="2">
        <v>91</v>
      </c>
      <c r="B115" s="2" t="s">
        <v>123</v>
      </c>
      <c r="C115" s="3" t="s">
        <v>106</v>
      </c>
      <c r="D115" s="3"/>
      <c r="E115" s="3"/>
      <c r="F115" s="3">
        <v>0</v>
      </c>
      <c r="G115" s="2"/>
      <c r="H115" s="3" t="str">
        <f t="shared" si="2"/>
        <v/>
      </c>
      <c r="I115" s="3" t="str">
        <f t="shared" si="3"/>
        <v>Neu</v>
      </c>
      <c r="J115" s="3" t="s">
        <v>31</v>
      </c>
    </row>
    <row r="116" spans="1:10">
      <c r="A116" s="2">
        <v>93</v>
      </c>
      <c r="B116" s="2" t="s">
        <v>125</v>
      </c>
      <c r="C116" s="3" t="s">
        <v>106</v>
      </c>
      <c r="D116" s="3"/>
      <c r="E116" s="3"/>
      <c r="F116" s="3">
        <v>0</v>
      </c>
      <c r="G116" s="2"/>
      <c r="H116" s="3" t="str">
        <f t="shared" si="2"/>
        <v/>
      </c>
      <c r="I116" s="3" t="str">
        <f t="shared" si="3"/>
        <v>Neu</v>
      </c>
      <c r="J116" s="3" t="s">
        <v>31</v>
      </c>
    </row>
    <row r="117" spans="1:10">
      <c r="A117" s="2">
        <v>94</v>
      </c>
      <c r="B117" s="2" t="s">
        <v>126</v>
      </c>
      <c r="C117" s="3" t="s">
        <v>106</v>
      </c>
      <c r="D117" s="3"/>
      <c r="E117" s="3"/>
      <c r="F117" s="3">
        <v>0</v>
      </c>
      <c r="G117" s="2"/>
      <c r="H117" s="3" t="str">
        <f t="shared" si="2"/>
        <v/>
      </c>
      <c r="I117" s="3" t="str">
        <f t="shared" si="3"/>
        <v>Neu</v>
      </c>
      <c r="J117" s="3" t="s">
        <v>31</v>
      </c>
    </row>
    <row r="118" spans="1:10">
      <c r="A118" s="2">
        <v>95</v>
      </c>
      <c r="B118" s="2" t="s">
        <v>127</v>
      </c>
      <c r="C118" s="3" t="s">
        <v>106</v>
      </c>
      <c r="D118" s="3"/>
      <c r="E118" s="3"/>
      <c r="F118" s="3">
        <v>0</v>
      </c>
      <c r="G118" s="2"/>
      <c r="H118" s="3" t="str">
        <f t="shared" si="2"/>
        <v/>
      </c>
      <c r="I118" s="3" t="str">
        <f t="shared" si="3"/>
        <v>Neu</v>
      </c>
      <c r="J118" s="3" t="s">
        <v>31</v>
      </c>
    </row>
    <row r="119" spans="1:10">
      <c r="A119" s="2">
        <v>97</v>
      </c>
      <c r="B119" s="2" t="s">
        <v>129</v>
      </c>
      <c r="C119" s="3" t="s">
        <v>106</v>
      </c>
      <c r="D119" s="3"/>
      <c r="E119" s="3"/>
      <c r="F119" s="3">
        <v>0</v>
      </c>
      <c r="G119" s="2"/>
      <c r="H119" s="3" t="str">
        <f t="shared" si="2"/>
        <v/>
      </c>
      <c r="I119" s="3" t="str">
        <f t="shared" si="3"/>
        <v>Neu</v>
      </c>
      <c r="J119" s="3" t="s">
        <v>31</v>
      </c>
    </row>
    <row r="120" spans="1:10">
      <c r="A120" s="2">
        <v>98</v>
      </c>
      <c r="B120" s="2" t="s">
        <v>130</v>
      </c>
      <c r="C120" s="3" t="s">
        <v>106</v>
      </c>
      <c r="D120" s="3"/>
      <c r="E120" s="3"/>
      <c r="F120" s="3">
        <v>0</v>
      </c>
      <c r="G120" s="2"/>
      <c r="H120" s="3" t="str">
        <f t="shared" si="2"/>
        <v/>
      </c>
      <c r="I120" s="3" t="str">
        <f t="shared" si="3"/>
        <v>Neu</v>
      </c>
      <c r="J120" s="3" t="s">
        <v>31</v>
      </c>
    </row>
    <row r="121" spans="1:10">
      <c r="A121" s="2">
        <v>99</v>
      </c>
      <c r="B121" s="2" t="s">
        <v>131</v>
      </c>
      <c r="C121" s="3" t="s">
        <v>106</v>
      </c>
      <c r="D121" s="3"/>
      <c r="E121" s="3"/>
      <c r="F121" s="3">
        <v>0</v>
      </c>
      <c r="G121" s="25"/>
      <c r="H121" s="3" t="str">
        <f t="shared" si="2"/>
        <v/>
      </c>
      <c r="I121" s="3" t="str">
        <f t="shared" si="3"/>
        <v>Neu</v>
      </c>
      <c r="J121" s="3" t="s">
        <v>31</v>
      </c>
    </row>
    <row r="122" spans="1:10">
      <c r="A122" s="2">
        <v>100</v>
      </c>
      <c r="B122" s="2" t="s">
        <v>132</v>
      </c>
      <c r="C122" s="3" t="s">
        <v>106</v>
      </c>
      <c r="D122" s="3"/>
      <c r="E122" s="3"/>
      <c r="F122" s="3">
        <v>0</v>
      </c>
      <c r="G122" s="2"/>
      <c r="H122" s="3" t="str">
        <f t="shared" si="2"/>
        <v/>
      </c>
      <c r="I122" s="3" t="str">
        <f t="shared" si="3"/>
        <v>Neu</v>
      </c>
      <c r="J122" s="3" t="s">
        <v>31</v>
      </c>
    </row>
    <row r="123" spans="1:10">
      <c r="A123" s="2">
        <v>101</v>
      </c>
      <c r="B123" s="2" t="s">
        <v>133</v>
      </c>
      <c r="C123" s="3" t="s">
        <v>106</v>
      </c>
      <c r="D123" s="3"/>
      <c r="E123" s="3"/>
      <c r="F123" s="3">
        <v>0</v>
      </c>
      <c r="G123" s="2"/>
      <c r="H123" s="3" t="str">
        <f t="shared" si="2"/>
        <v/>
      </c>
      <c r="I123" s="3" t="str">
        <f t="shared" si="3"/>
        <v>Neu</v>
      </c>
      <c r="J123" s="3" t="s">
        <v>31</v>
      </c>
    </row>
    <row r="124" spans="1:10">
      <c r="A124" s="2">
        <v>102</v>
      </c>
      <c r="B124" s="2" t="s">
        <v>134</v>
      </c>
      <c r="C124" s="3" t="s">
        <v>106</v>
      </c>
      <c r="D124" s="3"/>
      <c r="E124" s="3"/>
      <c r="F124" s="3">
        <v>0</v>
      </c>
      <c r="G124" s="2"/>
      <c r="H124" s="3" t="str">
        <f t="shared" si="2"/>
        <v/>
      </c>
      <c r="I124" s="3" t="str">
        <f t="shared" si="3"/>
        <v>Neu</v>
      </c>
      <c r="J124" s="3" t="s">
        <v>31</v>
      </c>
    </row>
    <row r="125" spans="1:10">
      <c r="A125" s="2">
        <v>103</v>
      </c>
      <c r="B125" s="2" t="s">
        <v>135</v>
      </c>
      <c r="C125" s="3" t="s">
        <v>106</v>
      </c>
      <c r="D125" s="3"/>
      <c r="E125" s="3"/>
      <c r="F125" s="3">
        <v>0</v>
      </c>
      <c r="G125" s="2"/>
      <c r="H125" s="3" t="str">
        <f t="shared" si="2"/>
        <v/>
      </c>
      <c r="I125" s="3" t="str">
        <f t="shared" si="3"/>
        <v>Neu</v>
      </c>
      <c r="J125" s="3" t="s">
        <v>31</v>
      </c>
    </row>
    <row r="126" spans="1:10">
      <c r="A126" s="2">
        <v>104</v>
      </c>
      <c r="B126" s="2" t="s">
        <v>136</v>
      </c>
      <c r="C126" s="3" t="s">
        <v>106</v>
      </c>
      <c r="D126" s="3"/>
      <c r="E126" s="3"/>
      <c r="F126" s="3">
        <v>0</v>
      </c>
      <c r="G126" s="2"/>
      <c r="H126" s="3" t="str">
        <f t="shared" si="2"/>
        <v/>
      </c>
      <c r="I126" s="3" t="str">
        <f t="shared" si="3"/>
        <v>Neu</v>
      </c>
      <c r="J126" s="3" t="s">
        <v>31</v>
      </c>
    </row>
    <row r="127" spans="1:10">
      <c r="A127" s="2">
        <v>106</v>
      </c>
      <c r="B127" s="2" t="s">
        <v>138</v>
      </c>
      <c r="C127" s="3" t="s">
        <v>106</v>
      </c>
      <c r="D127" s="3"/>
      <c r="E127" s="3"/>
      <c r="F127" s="3">
        <v>0</v>
      </c>
      <c r="G127" s="2"/>
      <c r="H127" s="3" t="str">
        <f t="shared" si="2"/>
        <v/>
      </c>
      <c r="I127" s="3" t="str">
        <f t="shared" si="3"/>
        <v>Neu</v>
      </c>
      <c r="J127" s="3" t="s">
        <v>31</v>
      </c>
    </row>
    <row r="128" spans="1:10">
      <c r="A128" s="2">
        <v>107</v>
      </c>
      <c r="B128" s="2" t="s">
        <v>139</v>
      </c>
      <c r="C128" s="3" t="s">
        <v>106</v>
      </c>
      <c r="D128" s="3"/>
      <c r="E128" s="3"/>
      <c r="F128" s="3">
        <v>0</v>
      </c>
      <c r="G128" s="2"/>
      <c r="H128" s="3" t="str">
        <f t="shared" si="2"/>
        <v/>
      </c>
      <c r="I128" s="3" t="str">
        <f t="shared" si="3"/>
        <v>Neu</v>
      </c>
      <c r="J128" s="3" t="s">
        <v>31</v>
      </c>
    </row>
    <row r="129" spans="1:10">
      <c r="A129" s="2">
        <v>108</v>
      </c>
      <c r="B129" s="2" t="s">
        <v>140</v>
      </c>
      <c r="C129" s="3" t="s">
        <v>106</v>
      </c>
      <c r="D129" s="3"/>
      <c r="E129" s="3"/>
      <c r="F129" s="3">
        <v>0</v>
      </c>
      <c r="G129" s="2"/>
      <c r="H129" s="3" t="str">
        <f t="shared" si="2"/>
        <v/>
      </c>
      <c r="I129" s="3" t="str">
        <f t="shared" si="3"/>
        <v>Neu</v>
      </c>
      <c r="J129" s="3" t="s">
        <v>31</v>
      </c>
    </row>
    <row r="130" spans="1:10">
      <c r="A130" s="2">
        <v>109</v>
      </c>
      <c r="B130" s="2" t="s">
        <v>141</v>
      </c>
      <c r="C130" s="3" t="s">
        <v>106</v>
      </c>
      <c r="D130" s="3"/>
      <c r="E130" s="3"/>
      <c r="F130" s="3">
        <v>0</v>
      </c>
      <c r="G130" s="2"/>
      <c r="H130" s="3" t="str">
        <f t="shared" ref="H130:H193" si="4">IF(AND(E130&lt;&gt;"",D130&lt;&gt;""),IF(E130&gt;=9,D130+30,IF(E130&gt;=7,D130+14,IF(E130&gt;=5,D130+7,IF(E130&gt;=3,D130+3,D130+1)))),"")</f>
        <v/>
      </c>
      <c r="I130" s="3" t="str">
        <f t="shared" ref="I130:I193" si="5">IF(F130=0,"Neu",IF(AND(E130&gt;=9,F130&gt;=3),"Gemeistert",IF(E130&gt;=9,"Gefestigt",IF(E130&gt;=5,"In Arbeit","Ausbaufähig"))))</f>
        <v>Neu</v>
      </c>
      <c r="J130" s="3" t="s">
        <v>31</v>
      </c>
    </row>
    <row r="131" spans="1:10">
      <c r="A131" s="2">
        <v>111</v>
      </c>
      <c r="B131" s="2" t="s">
        <v>143</v>
      </c>
      <c r="C131" s="3" t="s">
        <v>106</v>
      </c>
      <c r="D131" s="3"/>
      <c r="E131" s="3"/>
      <c r="F131" s="3">
        <v>0</v>
      </c>
      <c r="G131" s="2"/>
      <c r="H131" s="3" t="str">
        <f t="shared" si="4"/>
        <v/>
      </c>
      <c r="I131" s="3" t="str">
        <f t="shared" si="5"/>
        <v>Neu</v>
      </c>
      <c r="J131" s="3" t="s">
        <v>31</v>
      </c>
    </row>
    <row r="132" spans="1:10">
      <c r="A132" s="2">
        <v>112</v>
      </c>
      <c r="B132" s="2" t="s">
        <v>144</v>
      </c>
      <c r="C132" s="3" t="s">
        <v>106</v>
      </c>
      <c r="D132" s="3"/>
      <c r="E132" s="3"/>
      <c r="F132" s="3">
        <v>0</v>
      </c>
      <c r="G132" s="25"/>
      <c r="H132" s="3" t="str">
        <f t="shared" si="4"/>
        <v/>
      </c>
      <c r="I132" s="3" t="str">
        <f t="shared" si="5"/>
        <v>Neu</v>
      </c>
      <c r="J132" s="3" t="s">
        <v>31</v>
      </c>
    </row>
    <row r="133" spans="1:10">
      <c r="A133" s="2">
        <v>114</v>
      </c>
      <c r="B133" s="2" t="s">
        <v>146</v>
      </c>
      <c r="C133" s="3" t="s">
        <v>106</v>
      </c>
      <c r="D133" s="3"/>
      <c r="E133" s="3"/>
      <c r="F133" s="3">
        <v>0</v>
      </c>
      <c r="G133" s="2"/>
      <c r="H133" s="3" t="str">
        <f t="shared" si="4"/>
        <v/>
      </c>
      <c r="I133" s="3" t="str">
        <f t="shared" si="5"/>
        <v>Neu</v>
      </c>
      <c r="J133" s="3" t="s">
        <v>31</v>
      </c>
    </row>
    <row r="134" spans="1:10">
      <c r="A134" s="2">
        <v>116</v>
      </c>
      <c r="B134" s="2" t="s">
        <v>148</v>
      </c>
      <c r="C134" s="3" t="s">
        <v>106</v>
      </c>
      <c r="D134" s="3"/>
      <c r="E134" s="3"/>
      <c r="F134" s="3">
        <v>0</v>
      </c>
      <c r="G134" s="25"/>
      <c r="H134" s="3" t="str">
        <f t="shared" si="4"/>
        <v/>
      </c>
      <c r="I134" s="3" t="str">
        <f t="shared" si="5"/>
        <v>Neu</v>
      </c>
      <c r="J134" s="3" t="s">
        <v>31</v>
      </c>
    </row>
    <row r="135" spans="1:10">
      <c r="A135" s="2">
        <v>117</v>
      </c>
      <c r="B135" s="2" t="s">
        <v>149</v>
      </c>
      <c r="C135" s="3" t="s">
        <v>106</v>
      </c>
      <c r="D135" s="3"/>
      <c r="E135" s="3"/>
      <c r="F135" s="3">
        <v>0</v>
      </c>
      <c r="G135" s="2"/>
      <c r="H135" s="3" t="str">
        <f t="shared" si="4"/>
        <v/>
      </c>
      <c r="I135" s="3" t="str">
        <f t="shared" si="5"/>
        <v>Neu</v>
      </c>
      <c r="J135" s="3" t="s">
        <v>31</v>
      </c>
    </row>
    <row r="136" spans="1:10">
      <c r="A136" s="2">
        <v>118</v>
      </c>
      <c r="B136" s="2" t="s">
        <v>150</v>
      </c>
      <c r="C136" s="3" t="s">
        <v>106</v>
      </c>
      <c r="D136" s="3"/>
      <c r="E136" s="3"/>
      <c r="F136" s="3">
        <v>0</v>
      </c>
      <c r="G136" s="2"/>
      <c r="H136" s="3" t="str">
        <f t="shared" si="4"/>
        <v/>
      </c>
      <c r="I136" s="3" t="str">
        <f t="shared" si="5"/>
        <v>Neu</v>
      </c>
      <c r="J136" s="3" t="s">
        <v>31</v>
      </c>
    </row>
    <row r="137" spans="1:10">
      <c r="A137" s="2">
        <v>119</v>
      </c>
      <c r="B137" s="2" t="s">
        <v>151</v>
      </c>
      <c r="C137" s="3" t="s">
        <v>106</v>
      </c>
      <c r="D137" s="3"/>
      <c r="E137" s="3"/>
      <c r="F137" s="3">
        <v>0</v>
      </c>
      <c r="G137" s="2"/>
      <c r="H137" s="3" t="str">
        <f t="shared" si="4"/>
        <v/>
      </c>
      <c r="I137" s="3" t="str">
        <f t="shared" si="5"/>
        <v>Neu</v>
      </c>
      <c r="J137" s="3" t="s">
        <v>31</v>
      </c>
    </row>
    <row r="138" spans="1:10">
      <c r="A138" s="2">
        <v>120</v>
      </c>
      <c r="B138" s="2" t="s">
        <v>152</v>
      </c>
      <c r="C138" s="3" t="s">
        <v>106</v>
      </c>
      <c r="D138" s="3"/>
      <c r="E138" s="3"/>
      <c r="F138" s="3">
        <v>0</v>
      </c>
      <c r="G138" s="2"/>
      <c r="H138" s="3" t="str">
        <f t="shared" si="4"/>
        <v/>
      </c>
      <c r="I138" s="3" t="str">
        <f t="shared" si="5"/>
        <v>Neu</v>
      </c>
      <c r="J138" s="3" t="s">
        <v>31</v>
      </c>
    </row>
    <row r="139" spans="1:10">
      <c r="A139" s="2">
        <v>121</v>
      </c>
      <c r="B139" s="2" t="s">
        <v>153</v>
      </c>
      <c r="C139" s="3" t="s">
        <v>106</v>
      </c>
      <c r="D139" s="3"/>
      <c r="E139" s="3"/>
      <c r="F139" s="3">
        <v>0</v>
      </c>
      <c r="G139" s="25"/>
      <c r="H139" s="3" t="str">
        <f t="shared" si="4"/>
        <v/>
      </c>
      <c r="I139" s="3" t="str">
        <f t="shared" si="5"/>
        <v>Neu</v>
      </c>
      <c r="J139" s="3" t="s">
        <v>31</v>
      </c>
    </row>
    <row r="140" spans="1:10">
      <c r="A140" s="2">
        <v>122</v>
      </c>
      <c r="B140" s="2" t="s">
        <v>154</v>
      </c>
      <c r="C140" s="3" t="s">
        <v>106</v>
      </c>
      <c r="D140" s="3"/>
      <c r="E140" s="3"/>
      <c r="F140" s="3">
        <v>0</v>
      </c>
      <c r="G140" s="25"/>
      <c r="H140" s="3" t="str">
        <f t="shared" si="4"/>
        <v/>
      </c>
      <c r="I140" s="3" t="str">
        <f t="shared" si="5"/>
        <v>Neu</v>
      </c>
      <c r="J140" s="3" t="s">
        <v>31</v>
      </c>
    </row>
    <row r="141" spans="1:10">
      <c r="A141" s="2">
        <v>123</v>
      </c>
      <c r="B141" s="2" t="s">
        <v>155</v>
      </c>
      <c r="C141" s="3" t="s">
        <v>106</v>
      </c>
      <c r="D141" s="3"/>
      <c r="E141" s="3"/>
      <c r="F141" s="3">
        <v>0</v>
      </c>
      <c r="G141" s="25"/>
      <c r="H141" s="3" t="str">
        <f t="shared" si="4"/>
        <v/>
      </c>
      <c r="I141" s="3" t="str">
        <f t="shared" si="5"/>
        <v>Neu</v>
      </c>
      <c r="J141" s="3" t="s">
        <v>31</v>
      </c>
    </row>
    <row r="142" spans="1:10">
      <c r="A142" s="2">
        <v>125</v>
      </c>
      <c r="B142" s="2" t="s">
        <v>157</v>
      </c>
      <c r="C142" s="3" t="s">
        <v>106</v>
      </c>
      <c r="D142" s="3"/>
      <c r="E142" s="3"/>
      <c r="F142" s="3">
        <v>0</v>
      </c>
      <c r="G142" s="25"/>
      <c r="H142" s="3" t="str">
        <f t="shared" si="4"/>
        <v/>
      </c>
      <c r="I142" s="3" t="str">
        <f t="shared" si="5"/>
        <v>Neu</v>
      </c>
      <c r="J142" s="3" t="s">
        <v>31</v>
      </c>
    </row>
    <row r="143" spans="1:10">
      <c r="A143" s="2">
        <v>126</v>
      </c>
      <c r="B143" s="2" t="s">
        <v>158</v>
      </c>
      <c r="C143" s="3" t="s">
        <v>106</v>
      </c>
      <c r="D143" s="3"/>
      <c r="E143" s="3"/>
      <c r="F143" s="3">
        <v>0</v>
      </c>
      <c r="G143" s="2"/>
      <c r="H143" s="3" t="str">
        <f t="shared" si="4"/>
        <v/>
      </c>
      <c r="I143" s="3" t="str">
        <f t="shared" si="5"/>
        <v>Neu</v>
      </c>
      <c r="J143" s="3" t="s">
        <v>31</v>
      </c>
    </row>
    <row r="144" spans="1:10">
      <c r="A144" s="2">
        <v>127</v>
      </c>
      <c r="B144" s="2" t="s">
        <v>159</v>
      </c>
      <c r="C144" s="3" t="s">
        <v>106</v>
      </c>
      <c r="D144" s="3"/>
      <c r="E144" s="3"/>
      <c r="F144" s="3">
        <v>0</v>
      </c>
      <c r="G144" s="2"/>
      <c r="H144" s="3" t="str">
        <f t="shared" si="4"/>
        <v/>
      </c>
      <c r="I144" s="3" t="str">
        <f t="shared" si="5"/>
        <v>Neu</v>
      </c>
      <c r="J144" s="3" t="s">
        <v>31</v>
      </c>
    </row>
    <row r="145" spans="1:10">
      <c r="A145" s="2">
        <v>128</v>
      </c>
      <c r="B145" s="2" t="s">
        <v>160</v>
      </c>
      <c r="C145" s="3" t="s">
        <v>161</v>
      </c>
      <c r="D145" s="3"/>
      <c r="E145" s="3"/>
      <c r="F145" s="3">
        <v>0</v>
      </c>
      <c r="G145" s="2"/>
      <c r="H145" s="3" t="str">
        <f t="shared" si="4"/>
        <v/>
      </c>
      <c r="I145" s="3" t="str">
        <f t="shared" si="5"/>
        <v>Neu</v>
      </c>
      <c r="J145" s="3" t="s">
        <v>31</v>
      </c>
    </row>
    <row r="146" spans="1:10">
      <c r="A146" s="2">
        <v>132</v>
      </c>
      <c r="B146" s="2" t="s">
        <v>165</v>
      </c>
      <c r="C146" s="3" t="s">
        <v>161</v>
      </c>
      <c r="D146" s="3"/>
      <c r="E146" s="3"/>
      <c r="F146" s="3">
        <v>0</v>
      </c>
      <c r="G146" s="25"/>
      <c r="H146" s="3" t="str">
        <f t="shared" si="4"/>
        <v/>
      </c>
      <c r="I146" s="3" t="str">
        <f t="shared" si="5"/>
        <v>Neu</v>
      </c>
      <c r="J146" s="3" t="s">
        <v>31</v>
      </c>
    </row>
    <row r="147" spans="1:10">
      <c r="A147" s="2">
        <v>135</v>
      </c>
      <c r="B147" s="2" t="s">
        <v>168</v>
      </c>
      <c r="C147" s="3" t="s">
        <v>161</v>
      </c>
      <c r="D147" s="3"/>
      <c r="E147" s="3"/>
      <c r="F147" s="3">
        <v>0</v>
      </c>
      <c r="G147" s="2"/>
      <c r="H147" s="3" t="str">
        <f t="shared" si="4"/>
        <v/>
      </c>
      <c r="I147" s="3" t="str">
        <f t="shared" si="5"/>
        <v>Neu</v>
      </c>
      <c r="J147" s="3" t="s">
        <v>31</v>
      </c>
    </row>
    <row r="148" spans="1:10">
      <c r="A148" s="2">
        <v>137</v>
      </c>
      <c r="B148" s="2" t="s">
        <v>170</v>
      </c>
      <c r="C148" s="3" t="s">
        <v>161</v>
      </c>
      <c r="D148" s="3"/>
      <c r="E148" s="3"/>
      <c r="F148" s="3">
        <v>0</v>
      </c>
      <c r="G148" s="2"/>
      <c r="H148" s="3" t="str">
        <f t="shared" si="4"/>
        <v/>
      </c>
      <c r="I148" s="3" t="str">
        <f t="shared" si="5"/>
        <v>Neu</v>
      </c>
      <c r="J148" s="3" t="s">
        <v>31</v>
      </c>
    </row>
    <row r="149" spans="1:10">
      <c r="A149" s="2">
        <v>138</v>
      </c>
      <c r="B149" s="2" t="s">
        <v>171</v>
      </c>
      <c r="C149" s="3" t="s">
        <v>161</v>
      </c>
      <c r="D149" s="3"/>
      <c r="E149" s="3"/>
      <c r="F149" s="3">
        <v>0</v>
      </c>
      <c r="G149" s="25"/>
      <c r="H149" s="3" t="str">
        <f t="shared" si="4"/>
        <v/>
      </c>
      <c r="I149" s="3" t="str">
        <f t="shared" si="5"/>
        <v>Neu</v>
      </c>
      <c r="J149" s="3" t="s">
        <v>31</v>
      </c>
    </row>
    <row r="150" spans="1:10">
      <c r="A150" s="2">
        <v>140</v>
      </c>
      <c r="B150" s="2" t="s">
        <v>173</v>
      </c>
      <c r="C150" s="3" t="s">
        <v>161</v>
      </c>
      <c r="D150" s="3"/>
      <c r="E150" s="3"/>
      <c r="F150" s="3">
        <v>0</v>
      </c>
      <c r="G150" s="25"/>
      <c r="H150" s="3" t="str">
        <f t="shared" si="4"/>
        <v/>
      </c>
      <c r="I150" s="3" t="str">
        <f t="shared" si="5"/>
        <v>Neu</v>
      </c>
      <c r="J150" s="3" t="s">
        <v>31</v>
      </c>
    </row>
    <row r="151" spans="1:10">
      <c r="A151" s="2">
        <v>142</v>
      </c>
      <c r="B151" s="2" t="s">
        <v>175</v>
      </c>
      <c r="C151" s="3" t="s">
        <v>161</v>
      </c>
      <c r="D151" s="3"/>
      <c r="E151" s="3"/>
      <c r="F151" s="3">
        <v>0</v>
      </c>
      <c r="G151" s="2"/>
      <c r="H151" s="3" t="str">
        <f t="shared" si="4"/>
        <v/>
      </c>
      <c r="I151" s="3" t="str">
        <f t="shared" si="5"/>
        <v>Neu</v>
      </c>
      <c r="J151" s="3" t="s">
        <v>31</v>
      </c>
    </row>
    <row r="152" spans="1:10">
      <c r="A152" s="2">
        <v>143</v>
      </c>
      <c r="B152" s="2" t="s">
        <v>176</v>
      </c>
      <c r="C152" s="3" t="s">
        <v>161</v>
      </c>
      <c r="D152" s="3"/>
      <c r="E152" s="3"/>
      <c r="F152" s="3">
        <v>0</v>
      </c>
      <c r="G152" s="2"/>
      <c r="H152" s="3" t="str">
        <f t="shared" si="4"/>
        <v/>
      </c>
      <c r="I152" s="3" t="str">
        <f t="shared" si="5"/>
        <v>Neu</v>
      </c>
      <c r="J152" s="3" t="s">
        <v>31</v>
      </c>
    </row>
    <row r="153" spans="1:10">
      <c r="A153" s="2">
        <v>144</v>
      </c>
      <c r="B153" s="2" t="s">
        <v>177</v>
      </c>
      <c r="C153" s="3" t="s">
        <v>161</v>
      </c>
      <c r="D153" s="3"/>
      <c r="E153" s="3"/>
      <c r="F153" s="3">
        <v>0</v>
      </c>
      <c r="G153" s="2"/>
      <c r="H153" s="3" t="str">
        <f t="shared" si="4"/>
        <v/>
      </c>
      <c r="I153" s="3" t="str">
        <f t="shared" si="5"/>
        <v>Neu</v>
      </c>
      <c r="J153" s="3" t="s">
        <v>31</v>
      </c>
    </row>
    <row r="154" spans="1:10">
      <c r="A154" s="2">
        <v>146</v>
      </c>
      <c r="B154" s="2" t="s">
        <v>179</v>
      </c>
      <c r="C154" s="3" t="s">
        <v>161</v>
      </c>
      <c r="D154" s="3"/>
      <c r="E154" s="3"/>
      <c r="F154" s="3">
        <v>0</v>
      </c>
      <c r="G154" s="2"/>
      <c r="H154" s="3" t="str">
        <f t="shared" si="4"/>
        <v/>
      </c>
      <c r="I154" s="3" t="str">
        <f t="shared" si="5"/>
        <v>Neu</v>
      </c>
      <c r="J154" s="3" t="s">
        <v>31</v>
      </c>
    </row>
    <row r="155" spans="1:10">
      <c r="A155" s="2">
        <v>147</v>
      </c>
      <c r="B155" s="2" t="s">
        <v>180</v>
      </c>
      <c r="C155" s="3" t="s">
        <v>161</v>
      </c>
      <c r="D155" s="3"/>
      <c r="E155" s="3"/>
      <c r="F155" s="3">
        <v>0</v>
      </c>
      <c r="G155" s="2"/>
      <c r="H155" s="3" t="str">
        <f t="shared" si="4"/>
        <v/>
      </c>
      <c r="I155" s="3" t="str">
        <f t="shared" si="5"/>
        <v>Neu</v>
      </c>
      <c r="J155" s="3" t="s">
        <v>31</v>
      </c>
    </row>
    <row r="156" spans="1:10">
      <c r="A156" s="2">
        <v>149</v>
      </c>
      <c r="B156" s="2" t="s">
        <v>182</v>
      </c>
      <c r="C156" s="3" t="s">
        <v>161</v>
      </c>
      <c r="D156" s="3"/>
      <c r="E156" s="3"/>
      <c r="F156" s="3">
        <v>0</v>
      </c>
      <c r="G156" s="25"/>
      <c r="H156" s="3" t="str">
        <f t="shared" si="4"/>
        <v/>
      </c>
      <c r="I156" s="3" t="str">
        <f t="shared" si="5"/>
        <v>Neu</v>
      </c>
      <c r="J156" s="3" t="s">
        <v>31</v>
      </c>
    </row>
    <row r="157" spans="1:10">
      <c r="A157" s="2">
        <v>150</v>
      </c>
      <c r="B157" s="2" t="s">
        <v>183</v>
      </c>
      <c r="C157" s="3" t="s">
        <v>161</v>
      </c>
      <c r="D157" s="3"/>
      <c r="E157" s="3"/>
      <c r="F157" s="3">
        <v>0</v>
      </c>
      <c r="G157" s="2"/>
      <c r="H157" s="3" t="str">
        <f t="shared" si="4"/>
        <v/>
      </c>
      <c r="I157" s="3" t="str">
        <f t="shared" si="5"/>
        <v>Neu</v>
      </c>
      <c r="J157" s="3" t="s">
        <v>31</v>
      </c>
    </row>
    <row r="158" spans="1:10">
      <c r="A158" s="2">
        <v>151</v>
      </c>
      <c r="B158" s="2" t="s">
        <v>184</v>
      </c>
      <c r="C158" s="3" t="s">
        <v>161</v>
      </c>
      <c r="D158" s="3"/>
      <c r="E158" s="3"/>
      <c r="F158" s="3">
        <v>0</v>
      </c>
      <c r="G158" s="2"/>
      <c r="H158" s="3" t="str">
        <f t="shared" si="4"/>
        <v/>
      </c>
      <c r="I158" s="3" t="str">
        <f t="shared" si="5"/>
        <v>Neu</v>
      </c>
      <c r="J158" s="3" t="s">
        <v>31</v>
      </c>
    </row>
    <row r="159" spans="1:10">
      <c r="A159" s="2">
        <v>154</v>
      </c>
      <c r="B159" s="2" t="s">
        <v>187</v>
      </c>
      <c r="C159" s="3" t="s">
        <v>161</v>
      </c>
      <c r="D159" s="3"/>
      <c r="E159" s="3"/>
      <c r="F159" s="3">
        <v>0</v>
      </c>
      <c r="G159" s="2"/>
      <c r="H159" s="3" t="str">
        <f t="shared" si="4"/>
        <v/>
      </c>
      <c r="I159" s="3" t="str">
        <f t="shared" si="5"/>
        <v>Neu</v>
      </c>
      <c r="J159" s="3" t="s">
        <v>31</v>
      </c>
    </row>
    <row r="160" spans="1:10">
      <c r="A160" s="2">
        <v>155</v>
      </c>
      <c r="B160" s="2" t="s">
        <v>188</v>
      </c>
      <c r="C160" s="3" t="s">
        <v>161</v>
      </c>
      <c r="D160" s="3"/>
      <c r="E160" s="3"/>
      <c r="F160" s="3">
        <v>0</v>
      </c>
      <c r="G160" s="25"/>
      <c r="H160" s="3" t="str">
        <f t="shared" si="4"/>
        <v/>
      </c>
      <c r="I160" s="3" t="str">
        <f t="shared" si="5"/>
        <v>Neu</v>
      </c>
      <c r="J160" s="3" t="s">
        <v>31</v>
      </c>
    </row>
    <row r="161" spans="1:10">
      <c r="A161" s="2">
        <v>156</v>
      </c>
      <c r="B161" s="2" t="s">
        <v>189</v>
      </c>
      <c r="C161" s="3" t="s">
        <v>161</v>
      </c>
      <c r="D161" s="3"/>
      <c r="E161" s="3"/>
      <c r="F161" s="3">
        <v>0</v>
      </c>
      <c r="G161" s="2"/>
      <c r="H161" s="3" t="str">
        <f t="shared" si="4"/>
        <v/>
      </c>
      <c r="I161" s="3" t="str">
        <f t="shared" si="5"/>
        <v>Neu</v>
      </c>
      <c r="J161" s="3" t="s">
        <v>31</v>
      </c>
    </row>
    <row r="162" spans="1:10">
      <c r="A162" s="2">
        <v>157</v>
      </c>
      <c r="B162" s="2" t="s">
        <v>190</v>
      </c>
      <c r="C162" s="3" t="s">
        <v>161</v>
      </c>
      <c r="D162" s="3"/>
      <c r="E162" s="3"/>
      <c r="F162" s="3">
        <v>0</v>
      </c>
      <c r="G162" s="2"/>
      <c r="H162" s="3" t="str">
        <f t="shared" si="4"/>
        <v/>
      </c>
      <c r="I162" s="3" t="str">
        <f t="shared" si="5"/>
        <v>Neu</v>
      </c>
      <c r="J162" s="3" t="s">
        <v>31</v>
      </c>
    </row>
    <row r="163" spans="1:10">
      <c r="A163" s="2">
        <v>158</v>
      </c>
      <c r="B163" s="2" t="s">
        <v>191</v>
      </c>
      <c r="C163" s="3" t="s">
        <v>161</v>
      </c>
      <c r="D163" s="3"/>
      <c r="E163" s="3"/>
      <c r="F163" s="3">
        <v>0</v>
      </c>
      <c r="G163" s="2"/>
      <c r="H163" s="3" t="str">
        <f t="shared" si="4"/>
        <v/>
      </c>
      <c r="I163" s="3" t="str">
        <f t="shared" si="5"/>
        <v>Neu</v>
      </c>
      <c r="J163" s="3" t="s">
        <v>31</v>
      </c>
    </row>
    <row r="164" spans="1:10">
      <c r="A164" s="2">
        <v>160</v>
      </c>
      <c r="B164" s="2" t="s">
        <v>193</v>
      </c>
      <c r="C164" s="3" t="s">
        <v>161</v>
      </c>
      <c r="D164" s="3"/>
      <c r="E164" s="3"/>
      <c r="F164" s="3">
        <v>0</v>
      </c>
      <c r="G164" s="2"/>
      <c r="H164" s="3" t="str">
        <f t="shared" si="4"/>
        <v/>
      </c>
      <c r="I164" s="3" t="str">
        <f t="shared" si="5"/>
        <v>Neu</v>
      </c>
      <c r="J164" s="3" t="s">
        <v>31</v>
      </c>
    </row>
    <row r="165" spans="1:10">
      <c r="A165" s="2">
        <v>161</v>
      </c>
      <c r="B165" s="2" t="s">
        <v>194</v>
      </c>
      <c r="C165" s="3" t="s">
        <v>161</v>
      </c>
      <c r="D165" s="3"/>
      <c r="E165" s="3"/>
      <c r="F165" s="3">
        <v>0</v>
      </c>
      <c r="G165" s="2"/>
      <c r="H165" s="3" t="str">
        <f t="shared" si="4"/>
        <v/>
      </c>
      <c r="I165" s="3" t="str">
        <f t="shared" si="5"/>
        <v>Neu</v>
      </c>
      <c r="J165" s="3" t="s">
        <v>31</v>
      </c>
    </row>
    <row r="166" spans="1:10">
      <c r="A166" s="2">
        <v>162</v>
      </c>
      <c r="B166" s="2" t="s">
        <v>195</v>
      </c>
      <c r="C166" s="3" t="s">
        <v>161</v>
      </c>
      <c r="D166" s="3"/>
      <c r="E166" s="3"/>
      <c r="F166" s="3">
        <v>0</v>
      </c>
      <c r="G166" s="2"/>
      <c r="H166" s="3" t="str">
        <f t="shared" si="4"/>
        <v/>
      </c>
      <c r="I166" s="3" t="str">
        <f t="shared" si="5"/>
        <v>Neu</v>
      </c>
      <c r="J166" s="3" t="s">
        <v>31</v>
      </c>
    </row>
    <row r="167" spans="1:10">
      <c r="A167" s="2">
        <v>163</v>
      </c>
      <c r="B167" s="2" t="s">
        <v>196</v>
      </c>
      <c r="C167" s="3" t="s">
        <v>161</v>
      </c>
      <c r="D167" s="3"/>
      <c r="E167" s="3"/>
      <c r="F167" s="3">
        <v>0</v>
      </c>
      <c r="G167" s="2"/>
      <c r="H167" s="3" t="str">
        <f t="shared" si="4"/>
        <v/>
      </c>
      <c r="I167" s="3" t="str">
        <f t="shared" si="5"/>
        <v>Neu</v>
      </c>
      <c r="J167" s="3" t="s">
        <v>31</v>
      </c>
    </row>
    <row r="168" spans="1:10">
      <c r="A168" s="2">
        <v>165</v>
      </c>
      <c r="B168" s="2" t="s">
        <v>198</v>
      </c>
      <c r="C168" s="3" t="s">
        <v>161</v>
      </c>
      <c r="D168" s="3"/>
      <c r="E168" s="3"/>
      <c r="F168" s="3">
        <v>0</v>
      </c>
      <c r="G168" s="2"/>
      <c r="H168" s="3" t="str">
        <f t="shared" si="4"/>
        <v/>
      </c>
      <c r="I168" s="3" t="str">
        <f t="shared" si="5"/>
        <v>Neu</v>
      </c>
      <c r="J168" s="3" t="s">
        <v>31</v>
      </c>
    </row>
    <row r="169" spans="1:10">
      <c r="A169" s="2">
        <v>166</v>
      </c>
      <c r="B169" s="2" t="s">
        <v>199</v>
      </c>
      <c r="C169" s="3" t="s">
        <v>161</v>
      </c>
      <c r="D169" s="3"/>
      <c r="E169" s="3"/>
      <c r="F169" s="3">
        <v>0</v>
      </c>
      <c r="G169" s="2"/>
      <c r="H169" s="3" t="str">
        <f t="shared" si="4"/>
        <v/>
      </c>
      <c r="I169" s="3" t="str">
        <f t="shared" si="5"/>
        <v>Neu</v>
      </c>
      <c r="J169" s="3" t="s">
        <v>31</v>
      </c>
    </row>
    <row r="170" spans="1:10">
      <c r="A170" s="2">
        <v>167</v>
      </c>
      <c r="B170" s="2" t="s">
        <v>200</v>
      </c>
      <c r="C170" s="3" t="s">
        <v>161</v>
      </c>
      <c r="D170" s="3"/>
      <c r="E170" s="3"/>
      <c r="F170" s="3">
        <v>0</v>
      </c>
      <c r="G170" s="25"/>
      <c r="H170" s="3" t="str">
        <f t="shared" si="4"/>
        <v/>
      </c>
      <c r="I170" s="3" t="str">
        <f t="shared" si="5"/>
        <v>Neu</v>
      </c>
      <c r="J170" s="3" t="s">
        <v>31</v>
      </c>
    </row>
    <row r="171" spans="1:10">
      <c r="A171" s="2">
        <v>169</v>
      </c>
      <c r="B171" s="2" t="s">
        <v>202</v>
      </c>
      <c r="C171" s="3" t="s">
        <v>161</v>
      </c>
      <c r="D171" s="3"/>
      <c r="E171" s="3"/>
      <c r="F171" s="3">
        <v>0</v>
      </c>
      <c r="G171" s="2"/>
      <c r="H171" s="3" t="str">
        <f t="shared" si="4"/>
        <v/>
      </c>
      <c r="I171" s="3" t="str">
        <f t="shared" si="5"/>
        <v>Neu</v>
      </c>
      <c r="J171" s="3" t="s">
        <v>31</v>
      </c>
    </row>
    <row r="172" spans="1:10">
      <c r="A172" s="2">
        <v>170</v>
      </c>
      <c r="B172" s="2" t="s">
        <v>203</v>
      </c>
      <c r="C172" s="3" t="s">
        <v>161</v>
      </c>
      <c r="D172" s="3"/>
      <c r="E172" s="3"/>
      <c r="F172" s="3">
        <v>0</v>
      </c>
      <c r="G172" s="2"/>
      <c r="H172" s="3" t="str">
        <f t="shared" si="4"/>
        <v/>
      </c>
      <c r="I172" s="3" t="str">
        <f t="shared" si="5"/>
        <v>Neu</v>
      </c>
      <c r="J172" s="3" t="s">
        <v>31</v>
      </c>
    </row>
    <row r="173" spans="1:10">
      <c r="A173" s="2">
        <v>171</v>
      </c>
      <c r="B173" s="2" t="s">
        <v>204</v>
      </c>
      <c r="C173" s="3" t="s">
        <v>161</v>
      </c>
      <c r="D173" s="3"/>
      <c r="E173" s="3"/>
      <c r="F173" s="3">
        <v>0</v>
      </c>
      <c r="G173" s="2"/>
      <c r="H173" s="3" t="str">
        <f t="shared" si="4"/>
        <v/>
      </c>
      <c r="I173" s="3" t="str">
        <f t="shared" si="5"/>
        <v>Neu</v>
      </c>
      <c r="J173" s="3" t="s">
        <v>31</v>
      </c>
    </row>
    <row r="174" spans="1:10">
      <c r="A174" s="2">
        <v>172</v>
      </c>
      <c r="B174" s="2" t="s">
        <v>205</v>
      </c>
      <c r="C174" s="3" t="s">
        <v>161</v>
      </c>
      <c r="D174" s="3"/>
      <c r="E174" s="3"/>
      <c r="F174" s="3">
        <v>0</v>
      </c>
      <c r="G174" s="25"/>
      <c r="H174" s="3" t="str">
        <f t="shared" si="4"/>
        <v/>
      </c>
      <c r="I174" s="3" t="str">
        <f t="shared" si="5"/>
        <v>Neu</v>
      </c>
      <c r="J174" s="3" t="s">
        <v>31</v>
      </c>
    </row>
    <row r="175" spans="1:10">
      <c r="A175" s="2">
        <v>174</v>
      </c>
      <c r="B175" s="2" t="s">
        <v>207</v>
      </c>
      <c r="C175" s="3" t="s">
        <v>161</v>
      </c>
      <c r="D175" s="3"/>
      <c r="E175" s="3"/>
      <c r="F175" s="3">
        <v>0</v>
      </c>
      <c r="G175" s="2"/>
      <c r="H175" s="3" t="str">
        <f t="shared" si="4"/>
        <v/>
      </c>
      <c r="I175" s="3" t="str">
        <f t="shared" si="5"/>
        <v>Neu</v>
      </c>
      <c r="J175" s="3" t="s">
        <v>31</v>
      </c>
    </row>
    <row r="176" spans="1:10">
      <c r="A176" s="2">
        <v>175</v>
      </c>
      <c r="B176" s="2" t="s">
        <v>208</v>
      </c>
      <c r="C176" s="3" t="s">
        <v>161</v>
      </c>
      <c r="D176" s="3"/>
      <c r="E176" s="3"/>
      <c r="F176" s="3">
        <v>0</v>
      </c>
      <c r="G176" s="2"/>
      <c r="H176" s="3" t="str">
        <f t="shared" si="4"/>
        <v/>
      </c>
      <c r="I176" s="3" t="str">
        <f t="shared" si="5"/>
        <v>Neu</v>
      </c>
      <c r="J176" s="3" t="s">
        <v>31</v>
      </c>
    </row>
    <row r="177" spans="1:10">
      <c r="A177" s="2">
        <v>176</v>
      </c>
      <c r="B177" s="2" t="s">
        <v>209</v>
      </c>
      <c r="C177" s="3" t="s">
        <v>161</v>
      </c>
      <c r="D177" s="3"/>
      <c r="E177" s="3"/>
      <c r="F177" s="3">
        <v>0</v>
      </c>
      <c r="G177" s="2"/>
      <c r="H177" s="3" t="str">
        <f t="shared" si="4"/>
        <v/>
      </c>
      <c r="I177" s="3" t="str">
        <f t="shared" si="5"/>
        <v>Neu</v>
      </c>
      <c r="J177" s="3" t="s">
        <v>31</v>
      </c>
    </row>
    <row r="178" spans="1:10">
      <c r="A178" s="2">
        <v>177</v>
      </c>
      <c r="B178" s="2" t="s">
        <v>210</v>
      </c>
      <c r="C178" s="3" t="s">
        <v>161</v>
      </c>
      <c r="D178" s="3"/>
      <c r="E178" s="3"/>
      <c r="F178" s="3">
        <v>0</v>
      </c>
      <c r="G178" s="2"/>
      <c r="H178" s="3" t="str">
        <f t="shared" si="4"/>
        <v/>
      </c>
      <c r="I178" s="3" t="str">
        <f t="shared" si="5"/>
        <v>Neu</v>
      </c>
      <c r="J178" s="3" t="s">
        <v>31</v>
      </c>
    </row>
    <row r="179" spans="1:10">
      <c r="A179" s="2">
        <v>178</v>
      </c>
      <c r="B179" s="2" t="s">
        <v>211</v>
      </c>
      <c r="C179" s="3" t="s">
        <v>161</v>
      </c>
      <c r="D179" s="3"/>
      <c r="E179" s="3"/>
      <c r="F179" s="3">
        <v>0</v>
      </c>
      <c r="G179" s="2"/>
      <c r="H179" s="3" t="str">
        <f t="shared" si="4"/>
        <v/>
      </c>
      <c r="I179" s="3" t="str">
        <f t="shared" si="5"/>
        <v>Neu</v>
      </c>
      <c r="J179" s="3" t="s">
        <v>31</v>
      </c>
    </row>
    <row r="180" spans="1:10">
      <c r="A180" s="2">
        <v>179</v>
      </c>
      <c r="B180" s="2" t="s">
        <v>212</v>
      </c>
      <c r="C180" s="3" t="s">
        <v>161</v>
      </c>
      <c r="D180" s="3"/>
      <c r="E180" s="3"/>
      <c r="F180" s="3">
        <v>0</v>
      </c>
      <c r="G180" s="2"/>
      <c r="H180" s="3" t="str">
        <f t="shared" si="4"/>
        <v/>
      </c>
      <c r="I180" s="3" t="str">
        <f t="shared" si="5"/>
        <v>Neu</v>
      </c>
      <c r="J180" s="3" t="s">
        <v>31</v>
      </c>
    </row>
    <row r="181" spans="1:10">
      <c r="A181" s="2">
        <v>180</v>
      </c>
      <c r="B181" s="2" t="s">
        <v>213</v>
      </c>
      <c r="C181" s="3" t="s">
        <v>161</v>
      </c>
      <c r="D181" s="3"/>
      <c r="E181" s="3"/>
      <c r="F181" s="3">
        <v>0</v>
      </c>
      <c r="G181" s="2"/>
      <c r="H181" s="3" t="str">
        <f t="shared" si="4"/>
        <v/>
      </c>
      <c r="I181" s="3" t="str">
        <f t="shared" si="5"/>
        <v>Neu</v>
      </c>
      <c r="J181" s="3" t="s">
        <v>31</v>
      </c>
    </row>
    <row r="182" spans="1:10">
      <c r="A182" s="2">
        <v>181</v>
      </c>
      <c r="B182" s="2" t="s">
        <v>214</v>
      </c>
      <c r="C182" s="3" t="s">
        <v>161</v>
      </c>
      <c r="D182" s="3"/>
      <c r="E182" s="3"/>
      <c r="F182" s="3">
        <v>0</v>
      </c>
      <c r="G182" s="2"/>
      <c r="H182" s="3" t="str">
        <f t="shared" si="4"/>
        <v/>
      </c>
      <c r="I182" s="3" t="str">
        <f t="shared" si="5"/>
        <v>Neu</v>
      </c>
      <c r="J182" s="3" t="s">
        <v>31</v>
      </c>
    </row>
    <row r="183" spans="1:10">
      <c r="A183" s="2">
        <v>182</v>
      </c>
      <c r="B183" s="2" t="s">
        <v>215</v>
      </c>
      <c r="C183" s="3" t="s">
        <v>216</v>
      </c>
      <c r="D183" s="3"/>
      <c r="E183" s="3"/>
      <c r="F183" s="3">
        <v>0</v>
      </c>
      <c r="G183" s="2"/>
      <c r="H183" s="3" t="str">
        <f t="shared" si="4"/>
        <v/>
      </c>
      <c r="I183" s="3" t="str">
        <f t="shared" si="5"/>
        <v>Neu</v>
      </c>
      <c r="J183" s="3" t="s">
        <v>31</v>
      </c>
    </row>
    <row r="184" spans="1:10">
      <c r="A184" s="2">
        <v>183</v>
      </c>
      <c r="B184" s="2" t="s">
        <v>217</v>
      </c>
      <c r="C184" s="3" t="s">
        <v>216</v>
      </c>
      <c r="D184" s="3"/>
      <c r="E184" s="3"/>
      <c r="F184" s="3">
        <v>0</v>
      </c>
      <c r="G184" s="2"/>
      <c r="H184" s="3" t="str">
        <f t="shared" si="4"/>
        <v/>
      </c>
      <c r="I184" s="3" t="str">
        <f t="shared" si="5"/>
        <v>Neu</v>
      </c>
      <c r="J184" s="3" t="s">
        <v>31</v>
      </c>
    </row>
    <row r="185" spans="1:10">
      <c r="A185" s="2">
        <v>184</v>
      </c>
      <c r="B185" s="2" t="s">
        <v>218</v>
      </c>
      <c r="C185" s="3" t="s">
        <v>216</v>
      </c>
      <c r="D185" s="3"/>
      <c r="E185" s="3"/>
      <c r="F185" s="3">
        <v>0</v>
      </c>
      <c r="G185" s="2"/>
      <c r="H185" s="3" t="str">
        <f t="shared" si="4"/>
        <v/>
      </c>
      <c r="I185" s="3" t="str">
        <f t="shared" si="5"/>
        <v>Neu</v>
      </c>
      <c r="J185" s="3" t="s">
        <v>31</v>
      </c>
    </row>
    <row r="186" spans="1:10">
      <c r="A186" s="2">
        <v>185</v>
      </c>
      <c r="B186" s="2" t="s">
        <v>219</v>
      </c>
      <c r="C186" s="3" t="s">
        <v>216</v>
      </c>
      <c r="D186" s="3"/>
      <c r="E186" s="3"/>
      <c r="F186" s="3">
        <v>0</v>
      </c>
      <c r="G186" s="2"/>
      <c r="H186" s="3" t="str">
        <f t="shared" si="4"/>
        <v/>
      </c>
      <c r="I186" s="3" t="str">
        <f t="shared" si="5"/>
        <v>Neu</v>
      </c>
      <c r="J186" s="3" t="s">
        <v>31</v>
      </c>
    </row>
    <row r="187" spans="1:10">
      <c r="A187" s="2">
        <v>186</v>
      </c>
      <c r="B187" s="2" t="s">
        <v>220</v>
      </c>
      <c r="C187" s="3" t="s">
        <v>216</v>
      </c>
      <c r="D187" s="3"/>
      <c r="E187" s="3"/>
      <c r="F187" s="3">
        <v>0</v>
      </c>
      <c r="G187" s="2"/>
      <c r="H187" s="3" t="str">
        <f t="shared" si="4"/>
        <v/>
      </c>
      <c r="I187" s="3" t="str">
        <f t="shared" si="5"/>
        <v>Neu</v>
      </c>
      <c r="J187" s="3" t="s">
        <v>31</v>
      </c>
    </row>
    <row r="188" spans="1:10">
      <c r="A188" s="2">
        <v>187</v>
      </c>
      <c r="B188" s="2" t="s">
        <v>221</v>
      </c>
      <c r="C188" s="3" t="s">
        <v>216</v>
      </c>
      <c r="D188" s="3"/>
      <c r="E188" s="3"/>
      <c r="F188" s="3">
        <v>0</v>
      </c>
      <c r="G188" s="2"/>
      <c r="H188" s="3" t="str">
        <f t="shared" si="4"/>
        <v/>
      </c>
      <c r="I188" s="3" t="str">
        <f t="shared" si="5"/>
        <v>Neu</v>
      </c>
      <c r="J188" s="3" t="s">
        <v>31</v>
      </c>
    </row>
    <row r="189" spans="1:10">
      <c r="A189" s="2">
        <v>188</v>
      </c>
      <c r="B189" s="2" t="s">
        <v>222</v>
      </c>
      <c r="C189" s="3" t="s">
        <v>216</v>
      </c>
      <c r="D189" s="3"/>
      <c r="E189" s="3"/>
      <c r="F189" s="3">
        <v>0</v>
      </c>
      <c r="G189" s="2"/>
      <c r="H189" s="3" t="str">
        <f t="shared" si="4"/>
        <v/>
      </c>
      <c r="I189" s="3" t="str">
        <f t="shared" si="5"/>
        <v>Neu</v>
      </c>
      <c r="J189" s="3" t="s">
        <v>31</v>
      </c>
    </row>
    <row r="190" spans="1:10">
      <c r="A190" s="2">
        <v>189</v>
      </c>
      <c r="B190" s="2" t="s">
        <v>223</v>
      </c>
      <c r="C190" s="3" t="s">
        <v>216</v>
      </c>
      <c r="D190" s="3"/>
      <c r="E190" s="3"/>
      <c r="F190" s="3">
        <v>0</v>
      </c>
      <c r="G190" s="2"/>
      <c r="H190" s="3" t="str">
        <f t="shared" si="4"/>
        <v/>
      </c>
      <c r="I190" s="3" t="str">
        <f t="shared" si="5"/>
        <v>Neu</v>
      </c>
      <c r="J190" s="3" t="s">
        <v>31</v>
      </c>
    </row>
    <row r="191" spans="1:10">
      <c r="A191" s="2">
        <v>190</v>
      </c>
      <c r="B191" s="2" t="s">
        <v>224</v>
      </c>
      <c r="C191" s="3" t="s">
        <v>216</v>
      </c>
      <c r="D191" s="3"/>
      <c r="E191" s="3"/>
      <c r="F191" s="3">
        <v>0</v>
      </c>
      <c r="G191" s="2"/>
      <c r="H191" s="3" t="str">
        <f t="shared" si="4"/>
        <v/>
      </c>
      <c r="I191" s="3" t="str">
        <f t="shared" si="5"/>
        <v>Neu</v>
      </c>
      <c r="J191" s="3" t="s">
        <v>31</v>
      </c>
    </row>
    <row r="192" spans="1:10">
      <c r="A192" s="2">
        <v>191</v>
      </c>
      <c r="B192" s="2" t="s">
        <v>225</v>
      </c>
      <c r="C192" s="3" t="s">
        <v>216</v>
      </c>
      <c r="D192" s="3"/>
      <c r="E192" s="3"/>
      <c r="F192" s="3">
        <v>0</v>
      </c>
      <c r="G192" s="2"/>
      <c r="H192" s="3" t="str">
        <f t="shared" si="4"/>
        <v/>
      </c>
      <c r="I192" s="3" t="str">
        <f t="shared" si="5"/>
        <v>Neu</v>
      </c>
      <c r="J192" s="3" t="s">
        <v>31</v>
      </c>
    </row>
    <row r="193" spans="1:10">
      <c r="A193" s="2">
        <v>192</v>
      </c>
      <c r="B193" s="2" t="s">
        <v>226</v>
      </c>
      <c r="C193" s="3" t="s">
        <v>216</v>
      </c>
      <c r="D193" s="3"/>
      <c r="E193" s="3"/>
      <c r="F193" s="3">
        <v>0</v>
      </c>
      <c r="G193" s="2"/>
      <c r="H193" s="3" t="str">
        <f t="shared" si="4"/>
        <v/>
      </c>
      <c r="I193" s="3" t="str">
        <f t="shared" si="5"/>
        <v>Neu</v>
      </c>
      <c r="J193" s="3" t="s">
        <v>31</v>
      </c>
    </row>
    <row r="194" spans="1:10">
      <c r="A194" s="2">
        <v>193</v>
      </c>
      <c r="B194" s="2" t="s">
        <v>227</v>
      </c>
      <c r="C194" s="3" t="s">
        <v>216</v>
      </c>
      <c r="D194" s="3"/>
      <c r="E194" s="3"/>
      <c r="F194" s="3">
        <v>0</v>
      </c>
      <c r="G194" s="2"/>
      <c r="H194" s="3" t="str">
        <f t="shared" ref="H194:H257" si="6">IF(AND(E194&lt;&gt;"",D194&lt;&gt;""),IF(E194&gt;=9,D194+30,IF(E194&gt;=7,D194+14,IF(E194&gt;=5,D194+7,IF(E194&gt;=3,D194+3,D194+1)))),"")</f>
        <v/>
      </c>
      <c r="I194" s="3" t="str">
        <f t="shared" ref="I194:I257" si="7">IF(F194=0,"Neu",IF(AND(E194&gt;=9,F194&gt;=3),"Gemeistert",IF(E194&gt;=9,"Gefestigt",IF(E194&gt;=5,"In Arbeit","Ausbaufähig"))))</f>
        <v>Neu</v>
      </c>
      <c r="J194" s="3" t="s">
        <v>31</v>
      </c>
    </row>
    <row r="195" spans="1:10">
      <c r="A195" s="2">
        <v>194</v>
      </c>
      <c r="B195" s="2" t="s">
        <v>228</v>
      </c>
      <c r="C195" s="3" t="s">
        <v>216</v>
      </c>
      <c r="D195" s="3"/>
      <c r="E195" s="3"/>
      <c r="F195" s="3">
        <v>0</v>
      </c>
      <c r="G195" s="2"/>
      <c r="H195" s="3" t="str">
        <f t="shared" si="6"/>
        <v/>
      </c>
      <c r="I195" s="3" t="str">
        <f t="shared" si="7"/>
        <v>Neu</v>
      </c>
      <c r="J195" s="3" t="s">
        <v>31</v>
      </c>
    </row>
    <row r="196" spans="1:10">
      <c r="A196" s="2">
        <v>195</v>
      </c>
      <c r="B196" s="2" t="s">
        <v>229</v>
      </c>
      <c r="C196" s="3" t="s">
        <v>216</v>
      </c>
      <c r="D196" s="3"/>
      <c r="E196" s="3"/>
      <c r="F196" s="3">
        <v>0</v>
      </c>
      <c r="G196" s="2"/>
      <c r="H196" s="3" t="str">
        <f t="shared" si="6"/>
        <v/>
      </c>
      <c r="I196" s="3" t="str">
        <f t="shared" si="7"/>
        <v>Neu</v>
      </c>
      <c r="J196" s="3" t="s">
        <v>31</v>
      </c>
    </row>
    <row r="197" spans="1:10">
      <c r="A197" s="2">
        <v>196</v>
      </c>
      <c r="B197" s="2" t="s">
        <v>230</v>
      </c>
      <c r="C197" s="3" t="s">
        <v>216</v>
      </c>
      <c r="D197" s="3"/>
      <c r="E197" s="3"/>
      <c r="F197" s="3">
        <v>0</v>
      </c>
      <c r="G197" s="2"/>
      <c r="H197" s="3" t="str">
        <f t="shared" si="6"/>
        <v/>
      </c>
      <c r="I197" s="3" t="str">
        <f t="shared" si="7"/>
        <v>Neu</v>
      </c>
      <c r="J197" s="3" t="s">
        <v>31</v>
      </c>
    </row>
    <row r="198" spans="1:10">
      <c r="A198" s="2">
        <v>197</v>
      </c>
      <c r="B198" s="2" t="s">
        <v>231</v>
      </c>
      <c r="C198" s="3" t="s">
        <v>216</v>
      </c>
      <c r="D198" s="3"/>
      <c r="E198" s="3"/>
      <c r="F198" s="3">
        <v>0</v>
      </c>
      <c r="G198" s="2"/>
      <c r="H198" s="3" t="str">
        <f t="shared" si="6"/>
        <v/>
      </c>
      <c r="I198" s="3" t="str">
        <f t="shared" si="7"/>
        <v>Neu</v>
      </c>
      <c r="J198" s="3" t="s">
        <v>31</v>
      </c>
    </row>
    <row r="199" spans="1:10">
      <c r="A199" s="2">
        <v>198</v>
      </c>
      <c r="B199" s="2" t="s">
        <v>232</v>
      </c>
      <c r="C199" s="3" t="s">
        <v>216</v>
      </c>
      <c r="D199" s="3"/>
      <c r="E199" s="3"/>
      <c r="F199" s="3">
        <v>0</v>
      </c>
      <c r="G199" s="2"/>
      <c r="H199" s="3" t="str">
        <f t="shared" si="6"/>
        <v/>
      </c>
      <c r="I199" s="3" t="str">
        <f t="shared" si="7"/>
        <v>Neu</v>
      </c>
      <c r="J199" s="3" t="s">
        <v>31</v>
      </c>
    </row>
    <row r="200" spans="1:10">
      <c r="A200" s="2">
        <v>199</v>
      </c>
      <c r="B200" s="2" t="s">
        <v>233</v>
      </c>
      <c r="C200" s="3" t="s">
        <v>216</v>
      </c>
      <c r="D200" s="3"/>
      <c r="E200" s="3"/>
      <c r="F200" s="3">
        <v>0</v>
      </c>
      <c r="G200" s="2"/>
      <c r="H200" s="3" t="str">
        <f t="shared" si="6"/>
        <v/>
      </c>
      <c r="I200" s="3" t="str">
        <f t="shared" si="7"/>
        <v>Neu</v>
      </c>
      <c r="J200" s="3" t="s">
        <v>31</v>
      </c>
    </row>
    <row r="201" spans="1:10">
      <c r="A201" s="2">
        <v>200</v>
      </c>
      <c r="B201" s="2" t="s">
        <v>234</v>
      </c>
      <c r="C201" s="3" t="s">
        <v>216</v>
      </c>
      <c r="D201" s="3"/>
      <c r="E201" s="3"/>
      <c r="F201" s="3">
        <v>0</v>
      </c>
      <c r="G201" s="2"/>
      <c r="H201" s="3" t="str">
        <f t="shared" si="6"/>
        <v/>
      </c>
      <c r="I201" s="3" t="str">
        <f t="shared" si="7"/>
        <v>Neu</v>
      </c>
      <c r="J201" s="3" t="s">
        <v>31</v>
      </c>
    </row>
    <row r="202" spans="1:10">
      <c r="A202" s="2">
        <v>201</v>
      </c>
      <c r="B202" s="2" t="s">
        <v>235</v>
      </c>
      <c r="C202" s="3" t="s">
        <v>216</v>
      </c>
      <c r="D202" s="3"/>
      <c r="E202" s="3"/>
      <c r="F202" s="3">
        <v>0</v>
      </c>
      <c r="G202" s="2"/>
      <c r="H202" s="3" t="str">
        <f t="shared" si="6"/>
        <v/>
      </c>
      <c r="I202" s="3" t="str">
        <f t="shared" si="7"/>
        <v>Neu</v>
      </c>
      <c r="J202" s="3" t="s">
        <v>31</v>
      </c>
    </row>
    <row r="203" spans="1:10">
      <c r="A203" s="2">
        <v>202</v>
      </c>
      <c r="B203" s="2" t="s">
        <v>236</v>
      </c>
      <c r="C203" s="3" t="s">
        <v>216</v>
      </c>
      <c r="D203" s="3"/>
      <c r="E203" s="3"/>
      <c r="F203" s="3">
        <v>0</v>
      </c>
      <c r="G203" s="2"/>
      <c r="H203" s="3" t="str">
        <f t="shared" si="6"/>
        <v/>
      </c>
      <c r="I203" s="3" t="str">
        <f t="shared" si="7"/>
        <v>Neu</v>
      </c>
      <c r="J203" s="3" t="s">
        <v>31</v>
      </c>
    </row>
    <row r="204" spans="1:10">
      <c r="A204" s="2">
        <v>203</v>
      </c>
      <c r="B204" s="2" t="s">
        <v>237</v>
      </c>
      <c r="C204" s="3" t="s">
        <v>216</v>
      </c>
      <c r="D204" s="3"/>
      <c r="E204" s="3"/>
      <c r="F204" s="3">
        <v>0</v>
      </c>
      <c r="G204" s="2"/>
      <c r="H204" s="3" t="str">
        <f t="shared" si="6"/>
        <v/>
      </c>
      <c r="I204" s="3" t="str">
        <f t="shared" si="7"/>
        <v>Neu</v>
      </c>
      <c r="J204" s="3" t="s">
        <v>31</v>
      </c>
    </row>
    <row r="205" spans="1:10">
      <c r="A205" s="2">
        <v>204</v>
      </c>
      <c r="B205" s="2" t="s">
        <v>238</v>
      </c>
      <c r="C205" s="3" t="s">
        <v>216</v>
      </c>
      <c r="D205" s="3"/>
      <c r="E205" s="3"/>
      <c r="F205" s="3">
        <v>0</v>
      </c>
      <c r="G205" s="2"/>
      <c r="H205" s="3" t="str">
        <f t="shared" si="6"/>
        <v/>
      </c>
      <c r="I205" s="3" t="str">
        <f t="shared" si="7"/>
        <v>Neu</v>
      </c>
      <c r="J205" s="3" t="s">
        <v>31</v>
      </c>
    </row>
    <row r="206" spans="1:10">
      <c r="A206" s="2">
        <v>205</v>
      </c>
      <c r="B206" s="2" t="s">
        <v>239</v>
      </c>
      <c r="C206" s="3" t="s">
        <v>216</v>
      </c>
      <c r="D206" s="3"/>
      <c r="E206" s="3"/>
      <c r="F206" s="3">
        <v>0</v>
      </c>
      <c r="G206" s="2"/>
      <c r="H206" s="3" t="str">
        <f t="shared" si="6"/>
        <v/>
      </c>
      <c r="I206" s="3" t="str">
        <f t="shared" si="7"/>
        <v>Neu</v>
      </c>
      <c r="J206" s="3" t="s">
        <v>31</v>
      </c>
    </row>
    <row r="207" spans="1:10">
      <c r="A207" s="2">
        <v>206</v>
      </c>
      <c r="B207" s="2" t="s">
        <v>240</v>
      </c>
      <c r="C207" s="3" t="s">
        <v>216</v>
      </c>
      <c r="D207" s="3"/>
      <c r="E207" s="3"/>
      <c r="F207" s="3">
        <v>0</v>
      </c>
      <c r="G207" s="2"/>
      <c r="H207" s="3" t="str">
        <f t="shared" si="6"/>
        <v/>
      </c>
      <c r="I207" s="3" t="str">
        <f t="shared" si="7"/>
        <v>Neu</v>
      </c>
      <c r="J207" s="3" t="s">
        <v>31</v>
      </c>
    </row>
    <row r="208" spans="1:10">
      <c r="A208" s="2">
        <v>207</v>
      </c>
      <c r="B208" s="2" t="s">
        <v>241</v>
      </c>
      <c r="C208" s="3" t="s">
        <v>216</v>
      </c>
      <c r="D208" s="3"/>
      <c r="E208" s="3"/>
      <c r="F208" s="3">
        <v>0</v>
      </c>
      <c r="G208" s="2"/>
      <c r="H208" s="3" t="str">
        <f t="shared" si="6"/>
        <v/>
      </c>
      <c r="I208" s="3" t="str">
        <f t="shared" si="7"/>
        <v>Neu</v>
      </c>
      <c r="J208" s="3" t="s">
        <v>31</v>
      </c>
    </row>
    <row r="209" spans="1:10">
      <c r="A209" s="2">
        <v>208</v>
      </c>
      <c r="B209" s="2" t="s">
        <v>242</v>
      </c>
      <c r="C209" s="3" t="s">
        <v>216</v>
      </c>
      <c r="D209" s="3"/>
      <c r="E209" s="3"/>
      <c r="F209" s="3">
        <v>0</v>
      </c>
      <c r="G209" s="2"/>
      <c r="H209" s="3" t="str">
        <f t="shared" si="6"/>
        <v/>
      </c>
      <c r="I209" s="3" t="str">
        <f t="shared" si="7"/>
        <v>Neu</v>
      </c>
      <c r="J209" s="3" t="s">
        <v>31</v>
      </c>
    </row>
    <row r="210" spans="1:10">
      <c r="A210" s="2">
        <v>209</v>
      </c>
      <c r="B210" s="2" t="s">
        <v>243</v>
      </c>
      <c r="C210" s="3" t="s">
        <v>216</v>
      </c>
      <c r="D210" s="3"/>
      <c r="E210" s="3"/>
      <c r="F210" s="3">
        <v>0</v>
      </c>
      <c r="G210" s="2"/>
      <c r="H210" s="3" t="str">
        <f t="shared" si="6"/>
        <v/>
      </c>
      <c r="I210" s="3" t="str">
        <f t="shared" si="7"/>
        <v>Neu</v>
      </c>
      <c r="J210" s="3" t="s">
        <v>31</v>
      </c>
    </row>
    <row r="211" spans="1:10">
      <c r="A211" s="2">
        <v>210</v>
      </c>
      <c r="B211" s="2" t="s">
        <v>244</v>
      </c>
      <c r="C211" s="3" t="s">
        <v>216</v>
      </c>
      <c r="D211" s="3"/>
      <c r="E211" s="3"/>
      <c r="F211" s="3">
        <v>0</v>
      </c>
      <c r="G211" s="2"/>
      <c r="H211" s="3" t="str">
        <f t="shared" si="6"/>
        <v/>
      </c>
      <c r="I211" s="3" t="str">
        <f t="shared" si="7"/>
        <v>Neu</v>
      </c>
      <c r="J211" s="3" t="s">
        <v>31</v>
      </c>
    </row>
    <row r="212" spans="1:10">
      <c r="A212" s="2">
        <v>211</v>
      </c>
      <c r="B212" s="2" t="s">
        <v>245</v>
      </c>
      <c r="C212" s="3" t="s">
        <v>216</v>
      </c>
      <c r="D212" s="3"/>
      <c r="E212" s="3"/>
      <c r="F212" s="3">
        <v>0</v>
      </c>
      <c r="G212" s="2"/>
      <c r="H212" s="3" t="str">
        <f t="shared" si="6"/>
        <v/>
      </c>
      <c r="I212" s="3" t="str">
        <f t="shared" si="7"/>
        <v>Neu</v>
      </c>
      <c r="J212" s="3" t="s">
        <v>31</v>
      </c>
    </row>
    <row r="213" spans="1:10">
      <c r="A213" s="2">
        <v>212</v>
      </c>
      <c r="B213" s="2" t="s">
        <v>246</v>
      </c>
      <c r="C213" s="3" t="s">
        <v>216</v>
      </c>
      <c r="D213" s="3"/>
      <c r="E213" s="3"/>
      <c r="F213" s="3">
        <v>0</v>
      </c>
      <c r="G213" s="2"/>
      <c r="H213" s="3" t="str">
        <f t="shared" si="6"/>
        <v/>
      </c>
      <c r="I213" s="3" t="str">
        <f t="shared" si="7"/>
        <v>Neu</v>
      </c>
      <c r="J213" s="3" t="s">
        <v>31</v>
      </c>
    </row>
    <row r="214" spans="1:10">
      <c r="A214" s="2">
        <v>213</v>
      </c>
      <c r="B214" s="2" t="s">
        <v>247</v>
      </c>
      <c r="C214" s="3" t="s">
        <v>216</v>
      </c>
      <c r="D214" s="3"/>
      <c r="E214" s="3"/>
      <c r="F214" s="3">
        <v>0</v>
      </c>
      <c r="G214" s="2"/>
      <c r="H214" s="3" t="str">
        <f t="shared" si="6"/>
        <v/>
      </c>
      <c r="I214" s="3" t="str">
        <f t="shared" si="7"/>
        <v>Neu</v>
      </c>
      <c r="J214" s="3" t="s">
        <v>31</v>
      </c>
    </row>
    <row r="215" spans="1:10">
      <c r="A215" s="2">
        <v>214</v>
      </c>
      <c r="B215" s="2" t="s">
        <v>248</v>
      </c>
      <c r="C215" s="3" t="s">
        <v>216</v>
      </c>
      <c r="D215" s="3"/>
      <c r="E215" s="3"/>
      <c r="F215" s="3">
        <v>0</v>
      </c>
      <c r="G215" s="2"/>
      <c r="H215" s="3" t="str">
        <f t="shared" si="6"/>
        <v/>
      </c>
      <c r="I215" s="3" t="str">
        <f t="shared" si="7"/>
        <v>Neu</v>
      </c>
      <c r="J215" s="3" t="s">
        <v>31</v>
      </c>
    </row>
    <row r="216" spans="1:10">
      <c r="A216" s="2">
        <v>215</v>
      </c>
      <c r="B216" s="2" t="s">
        <v>249</v>
      </c>
      <c r="C216" s="3" t="s">
        <v>216</v>
      </c>
      <c r="D216" s="3"/>
      <c r="E216" s="3"/>
      <c r="F216" s="3">
        <v>0</v>
      </c>
      <c r="G216" s="2"/>
      <c r="H216" s="3" t="str">
        <f t="shared" si="6"/>
        <v/>
      </c>
      <c r="I216" s="3" t="str">
        <f t="shared" si="7"/>
        <v>Neu</v>
      </c>
      <c r="J216" s="3" t="s">
        <v>31</v>
      </c>
    </row>
    <row r="217" spans="1:10">
      <c r="A217" s="2">
        <v>216</v>
      </c>
      <c r="B217" s="2" t="s">
        <v>250</v>
      </c>
      <c r="C217" s="3" t="s">
        <v>216</v>
      </c>
      <c r="D217" s="3"/>
      <c r="E217" s="3"/>
      <c r="F217" s="3">
        <v>0</v>
      </c>
      <c r="G217" s="2"/>
      <c r="H217" s="3" t="str">
        <f t="shared" si="6"/>
        <v/>
      </c>
      <c r="I217" s="3" t="str">
        <f t="shared" si="7"/>
        <v>Neu</v>
      </c>
      <c r="J217" s="3" t="s">
        <v>31</v>
      </c>
    </row>
    <row r="218" spans="1:10">
      <c r="A218" s="2">
        <v>217</v>
      </c>
      <c r="B218" s="2" t="s">
        <v>251</v>
      </c>
      <c r="C218" s="3" t="s">
        <v>216</v>
      </c>
      <c r="D218" s="3"/>
      <c r="E218" s="3"/>
      <c r="F218" s="3">
        <v>0</v>
      </c>
      <c r="G218" s="2"/>
      <c r="H218" s="3" t="str">
        <f t="shared" si="6"/>
        <v/>
      </c>
      <c r="I218" s="3" t="str">
        <f t="shared" si="7"/>
        <v>Neu</v>
      </c>
      <c r="J218" s="3" t="s">
        <v>31</v>
      </c>
    </row>
    <row r="219" spans="1:10">
      <c r="A219" s="2">
        <v>218</v>
      </c>
      <c r="B219" s="2" t="s">
        <v>252</v>
      </c>
      <c r="C219" s="3" t="s">
        <v>216</v>
      </c>
      <c r="D219" s="3"/>
      <c r="E219" s="3"/>
      <c r="F219" s="3">
        <v>0</v>
      </c>
      <c r="G219" s="2"/>
      <c r="H219" s="3" t="str">
        <f t="shared" si="6"/>
        <v/>
      </c>
      <c r="I219" s="3" t="str">
        <f t="shared" si="7"/>
        <v>Neu</v>
      </c>
      <c r="J219" s="3" t="s">
        <v>31</v>
      </c>
    </row>
    <row r="220" spans="1:10">
      <c r="A220" s="2">
        <v>219</v>
      </c>
      <c r="B220" s="2" t="s">
        <v>253</v>
      </c>
      <c r="C220" s="3" t="s">
        <v>216</v>
      </c>
      <c r="D220" s="3"/>
      <c r="E220" s="3"/>
      <c r="F220" s="3">
        <v>0</v>
      </c>
      <c r="G220" s="2"/>
      <c r="H220" s="3" t="str">
        <f t="shared" si="6"/>
        <v/>
      </c>
      <c r="I220" s="3" t="str">
        <f t="shared" si="7"/>
        <v>Neu</v>
      </c>
      <c r="J220" s="3" t="s">
        <v>31</v>
      </c>
    </row>
    <row r="221" spans="1:10">
      <c r="A221" s="2">
        <v>220</v>
      </c>
      <c r="B221" s="2" t="s">
        <v>254</v>
      </c>
      <c r="C221" s="3" t="s">
        <v>216</v>
      </c>
      <c r="D221" s="3"/>
      <c r="E221" s="3"/>
      <c r="F221" s="3">
        <v>0</v>
      </c>
      <c r="G221" s="2"/>
      <c r="H221" s="3" t="str">
        <f t="shared" si="6"/>
        <v/>
      </c>
      <c r="I221" s="3" t="str">
        <f t="shared" si="7"/>
        <v>Neu</v>
      </c>
      <c r="J221" s="3" t="s">
        <v>31</v>
      </c>
    </row>
    <row r="222" spans="1:10">
      <c r="A222" s="2">
        <v>221</v>
      </c>
      <c r="B222" s="2" t="s">
        <v>255</v>
      </c>
      <c r="C222" s="3" t="s">
        <v>216</v>
      </c>
      <c r="D222" s="3"/>
      <c r="E222" s="3"/>
      <c r="F222" s="3">
        <v>0</v>
      </c>
      <c r="G222" s="2"/>
      <c r="H222" s="3" t="str">
        <f t="shared" si="6"/>
        <v/>
      </c>
      <c r="I222" s="3" t="str">
        <f t="shared" si="7"/>
        <v>Neu</v>
      </c>
      <c r="J222" s="3" t="s">
        <v>31</v>
      </c>
    </row>
    <row r="223" spans="1:10">
      <c r="A223" s="2">
        <v>222</v>
      </c>
      <c r="B223" s="2" t="s">
        <v>256</v>
      </c>
      <c r="C223" s="3" t="s">
        <v>216</v>
      </c>
      <c r="D223" s="3"/>
      <c r="E223" s="3"/>
      <c r="F223" s="3">
        <v>0</v>
      </c>
      <c r="G223" s="2"/>
      <c r="H223" s="3" t="str">
        <f t="shared" si="6"/>
        <v/>
      </c>
      <c r="I223" s="3" t="str">
        <f t="shared" si="7"/>
        <v>Neu</v>
      </c>
      <c r="J223" s="3" t="s">
        <v>31</v>
      </c>
    </row>
    <row r="224" spans="1:10">
      <c r="A224" s="2">
        <v>223</v>
      </c>
      <c r="B224" s="2" t="s">
        <v>257</v>
      </c>
      <c r="C224" s="3" t="s">
        <v>216</v>
      </c>
      <c r="D224" s="3"/>
      <c r="E224" s="3"/>
      <c r="F224" s="3">
        <v>0</v>
      </c>
      <c r="G224" s="2"/>
      <c r="H224" s="3" t="str">
        <f t="shared" si="6"/>
        <v/>
      </c>
      <c r="I224" s="3" t="str">
        <f t="shared" si="7"/>
        <v>Neu</v>
      </c>
      <c r="J224" s="3" t="s">
        <v>31</v>
      </c>
    </row>
    <row r="225" spans="1:10">
      <c r="A225" s="2">
        <v>224</v>
      </c>
      <c r="B225" s="2" t="s">
        <v>258</v>
      </c>
      <c r="C225" s="3" t="s">
        <v>216</v>
      </c>
      <c r="D225" s="3"/>
      <c r="E225" s="3"/>
      <c r="F225" s="3">
        <v>0</v>
      </c>
      <c r="G225" s="2"/>
      <c r="H225" s="3" t="str">
        <f t="shared" si="6"/>
        <v/>
      </c>
      <c r="I225" s="3" t="str">
        <f t="shared" si="7"/>
        <v>Neu</v>
      </c>
      <c r="J225" s="3" t="s">
        <v>31</v>
      </c>
    </row>
    <row r="226" spans="1:10">
      <c r="A226" s="2">
        <v>225</v>
      </c>
      <c r="B226" s="2" t="s">
        <v>259</v>
      </c>
      <c r="C226" s="3" t="s">
        <v>216</v>
      </c>
      <c r="D226" s="3"/>
      <c r="E226" s="3"/>
      <c r="F226" s="3">
        <v>0</v>
      </c>
      <c r="G226" s="2"/>
      <c r="H226" s="3" t="str">
        <f t="shared" si="6"/>
        <v/>
      </c>
      <c r="I226" s="3" t="str">
        <f t="shared" si="7"/>
        <v>Neu</v>
      </c>
      <c r="J226" s="3" t="s">
        <v>31</v>
      </c>
    </row>
    <row r="227" spans="1:10">
      <c r="A227" s="2">
        <v>226</v>
      </c>
      <c r="B227" s="2" t="s">
        <v>260</v>
      </c>
      <c r="C227" s="3" t="s">
        <v>216</v>
      </c>
      <c r="D227" s="3"/>
      <c r="E227" s="3"/>
      <c r="F227" s="3">
        <v>0</v>
      </c>
      <c r="G227" s="2"/>
      <c r="H227" s="3" t="str">
        <f t="shared" si="6"/>
        <v/>
      </c>
      <c r="I227" s="3" t="str">
        <f t="shared" si="7"/>
        <v>Neu</v>
      </c>
      <c r="J227" s="3" t="s">
        <v>31</v>
      </c>
    </row>
    <row r="228" spans="1:10">
      <c r="A228" s="2">
        <v>227</v>
      </c>
      <c r="B228" s="2" t="s">
        <v>261</v>
      </c>
      <c r="C228" s="3" t="s">
        <v>216</v>
      </c>
      <c r="D228" s="3"/>
      <c r="E228" s="3"/>
      <c r="F228" s="3">
        <v>0</v>
      </c>
      <c r="G228" s="2"/>
      <c r="H228" s="3" t="str">
        <f t="shared" si="6"/>
        <v/>
      </c>
      <c r="I228" s="3" t="str">
        <f t="shared" si="7"/>
        <v>Neu</v>
      </c>
      <c r="J228" s="3" t="s">
        <v>31</v>
      </c>
    </row>
    <row r="229" spans="1:10">
      <c r="A229" s="2">
        <v>228</v>
      </c>
      <c r="B229" s="2" t="s">
        <v>262</v>
      </c>
      <c r="C229" s="3" t="s">
        <v>216</v>
      </c>
      <c r="D229" s="3"/>
      <c r="E229" s="3"/>
      <c r="F229" s="3">
        <v>0</v>
      </c>
      <c r="G229" s="2"/>
      <c r="H229" s="3" t="str">
        <f t="shared" si="6"/>
        <v/>
      </c>
      <c r="I229" s="3" t="str">
        <f t="shared" si="7"/>
        <v>Neu</v>
      </c>
      <c r="J229" s="3" t="s">
        <v>31</v>
      </c>
    </row>
    <row r="230" spans="1:10">
      <c r="A230" s="2">
        <v>229</v>
      </c>
      <c r="B230" s="2" t="s">
        <v>263</v>
      </c>
      <c r="C230" s="3" t="s">
        <v>216</v>
      </c>
      <c r="D230" s="3"/>
      <c r="E230" s="3"/>
      <c r="F230" s="3">
        <v>0</v>
      </c>
      <c r="G230" s="2"/>
      <c r="H230" s="3" t="str">
        <f t="shared" si="6"/>
        <v/>
      </c>
      <c r="I230" s="3" t="str">
        <f t="shared" si="7"/>
        <v>Neu</v>
      </c>
      <c r="J230" s="3" t="s">
        <v>31</v>
      </c>
    </row>
    <row r="231" spans="1:10">
      <c r="A231" s="2">
        <v>230</v>
      </c>
      <c r="B231" s="2" t="s">
        <v>264</v>
      </c>
      <c r="C231" s="3" t="s">
        <v>216</v>
      </c>
      <c r="D231" s="3"/>
      <c r="E231" s="3"/>
      <c r="F231" s="3">
        <v>0</v>
      </c>
      <c r="G231" s="2"/>
      <c r="H231" s="3" t="str">
        <f t="shared" si="6"/>
        <v/>
      </c>
      <c r="I231" s="3" t="str">
        <f t="shared" si="7"/>
        <v>Neu</v>
      </c>
      <c r="J231" s="3" t="s">
        <v>31</v>
      </c>
    </row>
    <row r="232" spans="1:10">
      <c r="A232" s="2">
        <v>231</v>
      </c>
      <c r="B232" s="2" t="s">
        <v>265</v>
      </c>
      <c r="C232" s="3" t="s">
        <v>216</v>
      </c>
      <c r="D232" s="3"/>
      <c r="E232" s="3"/>
      <c r="F232" s="3">
        <v>0</v>
      </c>
      <c r="G232" s="2"/>
      <c r="H232" s="3" t="str">
        <f t="shared" si="6"/>
        <v/>
      </c>
      <c r="I232" s="3" t="str">
        <f t="shared" si="7"/>
        <v>Neu</v>
      </c>
      <c r="J232" s="3" t="s">
        <v>31</v>
      </c>
    </row>
    <row r="233" spans="1:10">
      <c r="A233" s="2">
        <v>232</v>
      </c>
      <c r="B233" s="2" t="s">
        <v>266</v>
      </c>
      <c r="C233" s="3" t="s">
        <v>216</v>
      </c>
      <c r="D233" s="3"/>
      <c r="E233" s="3"/>
      <c r="F233" s="3">
        <v>0</v>
      </c>
      <c r="G233" s="2"/>
      <c r="H233" s="3" t="str">
        <f t="shared" si="6"/>
        <v/>
      </c>
      <c r="I233" s="3" t="str">
        <f t="shared" si="7"/>
        <v>Neu</v>
      </c>
      <c r="J233" s="3" t="s">
        <v>31</v>
      </c>
    </row>
    <row r="234" spans="1:10">
      <c r="A234" s="2">
        <v>233</v>
      </c>
      <c r="B234" s="2" t="s">
        <v>267</v>
      </c>
      <c r="C234" s="3" t="s">
        <v>216</v>
      </c>
      <c r="D234" s="3"/>
      <c r="E234" s="3"/>
      <c r="F234" s="3">
        <v>0</v>
      </c>
      <c r="G234" s="2"/>
      <c r="H234" s="3" t="str">
        <f t="shared" si="6"/>
        <v/>
      </c>
      <c r="I234" s="3" t="str">
        <f t="shared" si="7"/>
        <v>Neu</v>
      </c>
      <c r="J234" s="3" t="s">
        <v>31</v>
      </c>
    </row>
    <row r="235" spans="1:10">
      <c r="A235" s="2">
        <v>234</v>
      </c>
      <c r="B235" s="2" t="s">
        <v>268</v>
      </c>
      <c r="C235" s="3" t="s">
        <v>216</v>
      </c>
      <c r="D235" s="3"/>
      <c r="E235" s="3"/>
      <c r="F235" s="3">
        <v>0</v>
      </c>
      <c r="G235" s="2"/>
      <c r="H235" s="3" t="str">
        <f t="shared" si="6"/>
        <v/>
      </c>
      <c r="I235" s="3" t="str">
        <f t="shared" si="7"/>
        <v>Neu</v>
      </c>
      <c r="J235" s="3" t="s">
        <v>31</v>
      </c>
    </row>
    <row r="236" spans="1:10">
      <c r="A236" s="2">
        <v>235</v>
      </c>
      <c r="B236" s="2" t="s">
        <v>269</v>
      </c>
      <c r="C236" s="3" t="s">
        <v>216</v>
      </c>
      <c r="D236" s="3"/>
      <c r="E236" s="3"/>
      <c r="F236" s="3">
        <v>0</v>
      </c>
      <c r="G236" s="2"/>
      <c r="H236" s="3" t="str">
        <f t="shared" si="6"/>
        <v/>
      </c>
      <c r="I236" s="3" t="str">
        <f t="shared" si="7"/>
        <v>Neu</v>
      </c>
      <c r="J236" s="3" t="s">
        <v>31</v>
      </c>
    </row>
    <row r="237" spans="1:10">
      <c r="A237" s="2">
        <v>236</v>
      </c>
      <c r="B237" s="2" t="s">
        <v>270</v>
      </c>
      <c r="C237" s="3" t="s">
        <v>216</v>
      </c>
      <c r="D237" s="3"/>
      <c r="E237" s="3"/>
      <c r="F237" s="3">
        <v>0</v>
      </c>
      <c r="G237" s="2"/>
      <c r="H237" s="3" t="str">
        <f t="shared" si="6"/>
        <v/>
      </c>
      <c r="I237" s="3" t="str">
        <f t="shared" si="7"/>
        <v>Neu</v>
      </c>
      <c r="J237" s="3" t="s">
        <v>31</v>
      </c>
    </row>
    <row r="238" spans="1:10">
      <c r="A238" s="2">
        <v>237</v>
      </c>
      <c r="B238" s="2" t="s">
        <v>271</v>
      </c>
      <c r="C238" s="3" t="s">
        <v>216</v>
      </c>
      <c r="D238" s="3"/>
      <c r="E238" s="3"/>
      <c r="F238" s="3">
        <v>0</v>
      </c>
      <c r="G238" s="2"/>
      <c r="H238" s="3" t="str">
        <f t="shared" si="6"/>
        <v/>
      </c>
      <c r="I238" s="3" t="str">
        <f t="shared" si="7"/>
        <v>Neu</v>
      </c>
      <c r="J238" s="3" t="s">
        <v>31</v>
      </c>
    </row>
    <row r="239" spans="1:10">
      <c r="A239" s="2">
        <v>238</v>
      </c>
      <c r="B239" s="2" t="s">
        <v>272</v>
      </c>
      <c r="C239" s="3" t="s">
        <v>216</v>
      </c>
      <c r="D239" s="3"/>
      <c r="E239" s="3"/>
      <c r="F239" s="3">
        <v>0</v>
      </c>
      <c r="G239" s="2"/>
      <c r="H239" s="3" t="str">
        <f t="shared" si="6"/>
        <v/>
      </c>
      <c r="I239" s="3" t="str">
        <f t="shared" si="7"/>
        <v>Neu</v>
      </c>
      <c r="J239" s="3" t="s">
        <v>31</v>
      </c>
    </row>
    <row r="240" spans="1:10">
      <c r="A240" s="2">
        <v>239</v>
      </c>
      <c r="B240" s="2" t="s">
        <v>273</v>
      </c>
      <c r="C240" s="3" t="s">
        <v>216</v>
      </c>
      <c r="D240" s="3"/>
      <c r="E240" s="3"/>
      <c r="F240" s="3">
        <v>0</v>
      </c>
      <c r="G240" s="2"/>
      <c r="H240" s="3" t="str">
        <f t="shared" si="6"/>
        <v/>
      </c>
      <c r="I240" s="3" t="str">
        <f t="shared" si="7"/>
        <v>Neu</v>
      </c>
      <c r="J240" s="3" t="s">
        <v>31</v>
      </c>
    </row>
    <row r="241" spans="1:10">
      <c r="A241" s="2">
        <v>240</v>
      </c>
      <c r="B241" s="2" t="s">
        <v>274</v>
      </c>
      <c r="C241" s="3" t="s">
        <v>216</v>
      </c>
      <c r="D241" s="3"/>
      <c r="E241" s="3"/>
      <c r="F241" s="3">
        <v>0</v>
      </c>
      <c r="G241" s="2"/>
      <c r="H241" s="3" t="str">
        <f t="shared" si="6"/>
        <v/>
      </c>
      <c r="I241" s="3" t="str">
        <f t="shared" si="7"/>
        <v>Neu</v>
      </c>
      <c r="J241" s="3" t="s">
        <v>31</v>
      </c>
    </row>
    <row r="242" spans="1:10">
      <c r="A242" s="2">
        <v>241</v>
      </c>
      <c r="B242" s="2" t="s">
        <v>275</v>
      </c>
      <c r="C242" s="3" t="s">
        <v>216</v>
      </c>
      <c r="D242" s="3"/>
      <c r="E242" s="3"/>
      <c r="F242" s="3">
        <v>0</v>
      </c>
      <c r="G242" s="2"/>
      <c r="H242" s="3" t="str">
        <f t="shared" si="6"/>
        <v/>
      </c>
      <c r="I242" s="3" t="str">
        <f t="shared" si="7"/>
        <v>Neu</v>
      </c>
      <c r="J242" s="3" t="s">
        <v>31</v>
      </c>
    </row>
    <row r="243" spans="1:10">
      <c r="A243" s="2">
        <v>242</v>
      </c>
      <c r="B243" s="2" t="s">
        <v>276</v>
      </c>
      <c r="C243" s="3" t="s">
        <v>216</v>
      </c>
      <c r="D243" s="3"/>
      <c r="E243" s="3"/>
      <c r="F243" s="3">
        <v>0</v>
      </c>
      <c r="G243" s="2"/>
      <c r="H243" s="3" t="str">
        <f t="shared" si="6"/>
        <v/>
      </c>
      <c r="I243" s="3" t="str">
        <f t="shared" si="7"/>
        <v>Neu</v>
      </c>
      <c r="J243" s="3" t="s">
        <v>31</v>
      </c>
    </row>
    <row r="244" spans="1:10">
      <c r="A244" s="2">
        <v>243</v>
      </c>
      <c r="B244" s="2" t="s">
        <v>277</v>
      </c>
      <c r="C244" s="3" t="s">
        <v>216</v>
      </c>
      <c r="D244" s="3"/>
      <c r="E244" s="3"/>
      <c r="F244" s="3">
        <v>0</v>
      </c>
      <c r="G244" s="2"/>
      <c r="H244" s="3" t="str">
        <f t="shared" si="6"/>
        <v/>
      </c>
      <c r="I244" s="3" t="str">
        <f t="shared" si="7"/>
        <v>Neu</v>
      </c>
      <c r="J244" s="3" t="s">
        <v>31</v>
      </c>
    </row>
    <row r="245" spans="1:10">
      <c r="A245" s="2">
        <v>244</v>
      </c>
      <c r="B245" s="2" t="s">
        <v>278</v>
      </c>
      <c r="C245" s="3" t="s">
        <v>216</v>
      </c>
      <c r="D245" s="3"/>
      <c r="E245" s="3"/>
      <c r="F245" s="3">
        <v>0</v>
      </c>
      <c r="G245" s="2"/>
      <c r="H245" s="3" t="str">
        <f t="shared" si="6"/>
        <v/>
      </c>
      <c r="I245" s="3" t="str">
        <f t="shared" si="7"/>
        <v>Neu</v>
      </c>
      <c r="J245" s="3" t="s">
        <v>31</v>
      </c>
    </row>
    <row r="246" spans="1:10">
      <c r="A246" s="2">
        <v>245</v>
      </c>
      <c r="B246" s="2" t="s">
        <v>279</v>
      </c>
      <c r="C246" s="3" t="s">
        <v>216</v>
      </c>
      <c r="D246" s="3"/>
      <c r="E246" s="3"/>
      <c r="F246" s="3">
        <v>0</v>
      </c>
      <c r="G246" s="2"/>
      <c r="H246" s="3" t="str">
        <f t="shared" si="6"/>
        <v/>
      </c>
      <c r="I246" s="3" t="str">
        <f t="shared" si="7"/>
        <v>Neu</v>
      </c>
      <c r="J246" s="3" t="s">
        <v>31</v>
      </c>
    </row>
    <row r="247" spans="1:10">
      <c r="A247" s="2">
        <v>246</v>
      </c>
      <c r="B247" s="2" t="s">
        <v>280</v>
      </c>
      <c r="C247" s="3" t="s">
        <v>216</v>
      </c>
      <c r="D247" s="3"/>
      <c r="E247" s="3"/>
      <c r="F247" s="3">
        <v>0</v>
      </c>
      <c r="G247" s="2"/>
      <c r="H247" s="3" t="str">
        <f t="shared" si="6"/>
        <v/>
      </c>
      <c r="I247" s="3" t="str">
        <f t="shared" si="7"/>
        <v>Neu</v>
      </c>
      <c r="J247" s="3" t="s">
        <v>31</v>
      </c>
    </row>
    <row r="248" spans="1:10">
      <c r="A248" s="28">
        <v>247</v>
      </c>
      <c r="B248" s="29" t="s">
        <v>379</v>
      </c>
      <c r="C248" s="27" t="s">
        <v>450</v>
      </c>
      <c r="F248" s="27">
        <v>0</v>
      </c>
      <c r="H248" s="3" t="str">
        <f t="shared" si="6"/>
        <v/>
      </c>
      <c r="I248" s="27" t="str">
        <f t="shared" si="7"/>
        <v>Neu</v>
      </c>
      <c r="J248" s="3" t="s">
        <v>31</v>
      </c>
    </row>
    <row r="249" spans="1:10">
      <c r="A249" s="28">
        <f t="shared" ref="A249:A280" si="8">A248+1</f>
        <v>248</v>
      </c>
      <c r="B249" s="29" t="s">
        <v>380</v>
      </c>
      <c r="C249" s="27" t="s">
        <v>450</v>
      </c>
      <c r="F249" s="27">
        <v>0</v>
      </c>
      <c r="H249" s="3" t="str">
        <f t="shared" si="6"/>
        <v/>
      </c>
      <c r="I249" s="27" t="str">
        <f t="shared" si="7"/>
        <v>Neu</v>
      </c>
      <c r="J249" s="3" t="s">
        <v>31</v>
      </c>
    </row>
    <row r="250" spans="1:10">
      <c r="A250" s="28">
        <f t="shared" si="8"/>
        <v>249</v>
      </c>
      <c r="B250" s="29" t="s">
        <v>381</v>
      </c>
      <c r="C250" s="27" t="s">
        <v>450</v>
      </c>
      <c r="F250" s="27">
        <v>0</v>
      </c>
      <c r="H250" s="3" t="str">
        <f t="shared" si="6"/>
        <v/>
      </c>
      <c r="I250" s="27" t="str">
        <f t="shared" si="7"/>
        <v>Neu</v>
      </c>
      <c r="J250" s="3" t="s">
        <v>31</v>
      </c>
    </row>
    <row r="251" spans="1:10">
      <c r="A251" s="28">
        <f t="shared" si="8"/>
        <v>250</v>
      </c>
      <c r="B251" s="29" t="s">
        <v>382</v>
      </c>
      <c r="C251" s="27" t="s">
        <v>450</v>
      </c>
      <c r="F251" s="27">
        <v>0</v>
      </c>
      <c r="H251" s="3" t="str">
        <f t="shared" si="6"/>
        <v/>
      </c>
      <c r="I251" s="27" t="str">
        <f t="shared" si="7"/>
        <v>Neu</v>
      </c>
      <c r="J251" s="3" t="s">
        <v>31</v>
      </c>
    </row>
    <row r="252" spans="1:10">
      <c r="A252" s="28">
        <f t="shared" si="8"/>
        <v>251</v>
      </c>
      <c r="B252" s="29" t="s">
        <v>383</v>
      </c>
      <c r="C252" s="27" t="s">
        <v>450</v>
      </c>
      <c r="F252" s="27">
        <v>0</v>
      </c>
      <c r="H252" s="3" t="str">
        <f t="shared" si="6"/>
        <v/>
      </c>
      <c r="I252" s="27" t="str">
        <f t="shared" si="7"/>
        <v>Neu</v>
      </c>
      <c r="J252" s="3" t="s">
        <v>31</v>
      </c>
    </row>
    <row r="253" spans="1:10">
      <c r="A253" s="28">
        <f t="shared" si="8"/>
        <v>252</v>
      </c>
      <c r="B253" s="29" t="s">
        <v>384</v>
      </c>
      <c r="C253" s="27" t="s">
        <v>450</v>
      </c>
      <c r="F253" s="27">
        <v>0</v>
      </c>
      <c r="H253" s="3" t="str">
        <f t="shared" si="6"/>
        <v/>
      </c>
      <c r="I253" s="27" t="str">
        <f t="shared" si="7"/>
        <v>Neu</v>
      </c>
      <c r="J253" s="3" t="s">
        <v>31</v>
      </c>
    </row>
    <row r="254" spans="1:10">
      <c r="A254" s="28">
        <f t="shared" si="8"/>
        <v>253</v>
      </c>
      <c r="B254" s="29" t="s">
        <v>385</v>
      </c>
      <c r="C254" s="27" t="s">
        <v>450</v>
      </c>
      <c r="F254" s="27">
        <v>0</v>
      </c>
      <c r="H254" s="3" t="str">
        <f t="shared" si="6"/>
        <v/>
      </c>
      <c r="I254" s="27" t="str">
        <f t="shared" si="7"/>
        <v>Neu</v>
      </c>
      <c r="J254" s="3" t="s">
        <v>31</v>
      </c>
    </row>
    <row r="255" spans="1:10">
      <c r="A255" s="28">
        <f t="shared" si="8"/>
        <v>254</v>
      </c>
      <c r="B255" s="29" t="s">
        <v>386</v>
      </c>
      <c r="C255" s="27" t="s">
        <v>450</v>
      </c>
      <c r="F255" s="27">
        <v>0</v>
      </c>
      <c r="H255" s="3" t="str">
        <f t="shared" si="6"/>
        <v/>
      </c>
      <c r="I255" s="27" t="str">
        <f t="shared" si="7"/>
        <v>Neu</v>
      </c>
      <c r="J255" s="3" t="s">
        <v>31</v>
      </c>
    </row>
    <row r="256" spans="1:10">
      <c r="A256" s="28">
        <f t="shared" si="8"/>
        <v>255</v>
      </c>
      <c r="B256" s="29" t="s">
        <v>387</v>
      </c>
      <c r="C256" s="27" t="s">
        <v>450</v>
      </c>
      <c r="F256" s="27">
        <v>0</v>
      </c>
      <c r="H256" s="3" t="str">
        <f t="shared" si="6"/>
        <v/>
      </c>
      <c r="I256" s="27" t="str">
        <f t="shared" si="7"/>
        <v>Neu</v>
      </c>
      <c r="J256" s="3" t="s">
        <v>31</v>
      </c>
    </row>
    <row r="257" spans="1:10">
      <c r="A257" s="28">
        <f t="shared" si="8"/>
        <v>256</v>
      </c>
      <c r="B257" s="29" t="s">
        <v>388</v>
      </c>
      <c r="C257" s="27" t="s">
        <v>450</v>
      </c>
      <c r="F257" s="27">
        <v>0</v>
      </c>
      <c r="H257" s="3" t="str">
        <f t="shared" si="6"/>
        <v/>
      </c>
      <c r="I257" s="27" t="str">
        <f t="shared" si="7"/>
        <v>Neu</v>
      </c>
      <c r="J257" s="3" t="s">
        <v>31</v>
      </c>
    </row>
    <row r="258" spans="1:10">
      <c r="A258" s="28">
        <f t="shared" si="8"/>
        <v>257</v>
      </c>
      <c r="B258" s="29" t="s">
        <v>389</v>
      </c>
      <c r="C258" s="27" t="s">
        <v>450</v>
      </c>
      <c r="F258" s="27">
        <v>0</v>
      </c>
      <c r="H258" s="3" t="str">
        <f t="shared" ref="H258:H318" si="9">IF(AND(E258&lt;&gt;"",D258&lt;&gt;""),IF(E258&gt;=9,D258+30,IF(E258&gt;=7,D258+14,IF(E258&gt;=5,D258+7,IF(E258&gt;=3,D258+3,D258+1)))),"")</f>
        <v/>
      </c>
      <c r="I258" s="27" t="str">
        <f t="shared" ref="I258:I318" si="10">IF(F258=0,"Neu",IF(AND(E258&gt;=9,F258&gt;=3),"Gemeistert",IF(E258&gt;=9,"Gefestigt",IF(E258&gt;=5,"In Arbeit","Ausbaufähig"))))</f>
        <v>Neu</v>
      </c>
      <c r="J258" s="3" t="s">
        <v>31</v>
      </c>
    </row>
    <row r="259" spans="1:10">
      <c r="A259" s="28">
        <f t="shared" si="8"/>
        <v>258</v>
      </c>
      <c r="B259" s="29" t="s">
        <v>390</v>
      </c>
      <c r="C259" s="27" t="s">
        <v>450</v>
      </c>
      <c r="F259" s="27">
        <v>0</v>
      </c>
      <c r="H259" s="3" t="str">
        <f t="shared" si="9"/>
        <v/>
      </c>
      <c r="I259" s="27" t="str">
        <f t="shared" si="10"/>
        <v>Neu</v>
      </c>
      <c r="J259" s="3" t="s">
        <v>31</v>
      </c>
    </row>
    <row r="260" spans="1:10">
      <c r="A260" s="28">
        <f t="shared" si="8"/>
        <v>259</v>
      </c>
      <c r="B260" s="29" t="s">
        <v>391</v>
      </c>
      <c r="C260" s="27" t="s">
        <v>450</v>
      </c>
      <c r="F260" s="27">
        <v>0</v>
      </c>
      <c r="H260" s="3" t="str">
        <f t="shared" si="9"/>
        <v/>
      </c>
      <c r="I260" s="27" t="str">
        <f t="shared" si="10"/>
        <v>Neu</v>
      </c>
      <c r="J260" s="3" t="s">
        <v>31</v>
      </c>
    </row>
    <row r="261" spans="1:10">
      <c r="A261" s="28">
        <f t="shared" si="8"/>
        <v>260</v>
      </c>
      <c r="B261" s="29" t="s">
        <v>392</v>
      </c>
      <c r="C261" s="27" t="s">
        <v>450</v>
      </c>
      <c r="F261" s="27">
        <v>0</v>
      </c>
      <c r="H261" s="3" t="str">
        <f t="shared" si="9"/>
        <v/>
      </c>
      <c r="I261" s="27" t="str">
        <f t="shared" si="10"/>
        <v>Neu</v>
      </c>
      <c r="J261" s="3" t="s">
        <v>31</v>
      </c>
    </row>
    <row r="262" spans="1:10">
      <c r="A262" s="28">
        <f t="shared" si="8"/>
        <v>261</v>
      </c>
      <c r="B262" s="29" t="s">
        <v>393</v>
      </c>
      <c r="C262" s="27" t="s">
        <v>450</v>
      </c>
      <c r="F262" s="27">
        <v>0</v>
      </c>
      <c r="H262" s="3" t="str">
        <f t="shared" si="9"/>
        <v/>
      </c>
      <c r="I262" s="27" t="str">
        <f t="shared" si="10"/>
        <v>Neu</v>
      </c>
      <c r="J262" s="3" t="s">
        <v>31</v>
      </c>
    </row>
    <row r="263" spans="1:10">
      <c r="A263" s="28">
        <f t="shared" si="8"/>
        <v>262</v>
      </c>
      <c r="B263" s="29" t="s">
        <v>394</v>
      </c>
      <c r="C263" s="27" t="s">
        <v>450</v>
      </c>
      <c r="F263" s="27">
        <v>0</v>
      </c>
      <c r="H263" s="3" t="str">
        <f t="shared" si="9"/>
        <v/>
      </c>
      <c r="I263" s="27" t="str">
        <f t="shared" si="10"/>
        <v>Neu</v>
      </c>
      <c r="J263" s="3" t="s">
        <v>31</v>
      </c>
    </row>
    <row r="264" spans="1:10">
      <c r="A264" s="28">
        <f t="shared" si="8"/>
        <v>263</v>
      </c>
      <c r="B264" s="29" t="s">
        <v>395</v>
      </c>
      <c r="C264" s="27" t="s">
        <v>450</v>
      </c>
      <c r="F264" s="27">
        <v>0</v>
      </c>
      <c r="H264" s="3" t="str">
        <f t="shared" si="9"/>
        <v/>
      </c>
      <c r="I264" s="27" t="str">
        <f t="shared" si="10"/>
        <v>Neu</v>
      </c>
      <c r="J264" s="3" t="s">
        <v>31</v>
      </c>
    </row>
    <row r="265" spans="1:10">
      <c r="A265" s="28">
        <f t="shared" si="8"/>
        <v>264</v>
      </c>
      <c r="B265" s="29" t="s">
        <v>396</v>
      </c>
      <c r="C265" s="27" t="s">
        <v>450</v>
      </c>
      <c r="F265" s="27">
        <v>0</v>
      </c>
      <c r="H265" s="3" t="str">
        <f t="shared" si="9"/>
        <v/>
      </c>
      <c r="I265" s="27" t="str">
        <f t="shared" si="10"/>
        <v>Neu</v>
      </c>
      <c r="J265" s="3" t="s">
        <v>31</v>
      </c>
    </row>
    <row r="266" spans="1:10">
      <c r="A266" s="28">
        <f t="shared" si="8"/>
        <v>265</v>
      </c>
      <c r="B266" s="29" t="s">
        <v>397</v>
      </c>
      <c r="C266" s="27" t="s">
        <v>450</v>
      </c>
      <c r="F266" s="27">
        <v>0</v>
      </c>
      <c r="H266" s="3" t="str">
        <f t="shared" si="9"/>
        <v/>
      </c>
      <c r="I266" s="27" t="str">
        <f t="shared" si="10"/>
        <v>Neu</v>
      </c>
      <c r="J266" s="3" t="s">
        <v>31</v>
      </c>
    </row>
    <row r="267" spans="1:10">
      <c r="A267" s="28">
        <f t="shared" si="8"/>
        <v>266</v>
      </c>
      <c r="B267" s="29" t="s">
        <v>398</v>
      </c>
      <c r="C267" s="27" t="s">
        <v>450</v>
      </c>
      <c r="F267" s="27">
        <v>0</v>
      </c>
      <c r="H267" s="3" t="str">
        <f t="shared" si="9"/>
        <v/>
      </c>
      <c r="I267" s="27" t="str">
        <f t="shared" si="10"/>
        <v>Neu</v>
      </c>
      <c r="J267" s="3" t="s">
        <v>31</v>
      </c>
    </row>
    <row r="268" spans="1:10">
      <c r="A268" s="28">
        <f t="shared" si="8"/>
        <v>267</v>
      </c>
      <c r="B268" s="29" t="s">
        <v>399</v>
      </c>
      <c r="C268" s="27" t="s">
        <v>450</v>
      </c>
      <c r="F268" s="27">
        <v>0</v>
      </c>
      <c r="H268" s="3" t="str">
        <f t="shared" si="9"/>
        <v/>
      </c>
      <c r="I268" s="27" t="str">
        <f t="shared" si="10"/>
        <v>Neu</v>
      </c>
      <c r="J268" s="3" t="s">
        <v>31</v>
      </c>
    </row>
    <row r="269" spans="1:10">
      <c r="A269" s="28">
        <f t="shared" si="8"/>
        <v>268</v>
      </c>
      <c r="B269" s="29" t="s">
        <v>400</v>
      </c>
      <c r="C269" s="27" t="s">
        <v>450</v>
      </c>
      <c r="F269" s="27">
        <v>0</v>
      </c>
      <c r="H269" s="3" t="str">
        <f t="shared" si="9"/>
        <v/>
      </c>
      <c r="I269" s="27" t="str">
        <f t="shared" si="10"/>
        <v>Neu</v>
      </c>
      <c r="J269" s="3" t="s">
        <v>31</v>
      </c>
    </row>
    <row r="270" spans="1:10">
      <c r="A270" s="28">
        <f t="shared" si="8"/>
        <v>269</v>
      </c>
      <c r="B270" s="29" t="s">
        <v>401</v>
      </c>
      <c r="C270" s="27" t="s">
        <v>450</v>
      </c>
      <c r="F270" s="27">
        <v>0</v>
      </c>
      <c r="H270" s="3" t="str">
        <f t="shared" si="9"/>
        <v/>
      </c>
      <c r="I270" s="27" t="str">
        <f t="shared" si="10"/>
        <v>Neu</v>
      </c>
      <c r="J270" s="3" t="s">
        <v>31</v>
      </c>
    </row>
    <row r="271" spans="1:10">
      <c r="A271" s="28">
        <f t="shared" si="8"/>
        <v>270</v>
      </c>
      <c r="B271" s="29" t="s">
        <v>402</v>
      </c>
      <c r="C271" s="27" t="s">
        <v>450</v>
      </c>
      <c r="F271" s="27">
        <v>0</v>
      </c>
      <c r="H271" s="3" t="str">
        <f t="shared" si="9"/>
        <v/>
      </c>
      <c r="I271" s="27" t="str">
        <f t="shared" si="10"/>
        <v>Neu</v>
      </c>
      <c r="J271" s="3" t="s">
        <v>31</v>
      </c>
    </row>
    <row r="272" spans="1:10">
      <c r="A272" s="28">
        <f t="shared" si="8"/>
        <v>271</v>
      </c>
      <c r="B272" s="29" t="s">
        <v>403</v>
      </c>
      <c r="C272" s="27" t="s">
        <v>450</v>
      </c>
      <c r="F272" s="27">
        <v>0</v>
      </c>
      <c r="H272" s="3" t="str">
        <f t="shared" si="9"/>
        <v/>
      </c>
      <c r="I272" s="27" t="str">
        <f t="shared" si="10"/>
        <v>Neu</v>
      </c>
      <c r="J272" s="3" t="s">
        <v>31</v>
      </c>
    </row>
    <row r="273" spans="1:10">
      <c r="A273" s="28">
        <f t="shared" si="8"/>
        <v>272</v>
      </c>
      <c r="B273" s="29" t="s">
        <v>404</v>
      </c>
      <c r="C273" s="27" t="s">
        <v>450</v>
      </c>
      <c r="F273" s="27">
        <v>0</v>
      </c>
      <c r="H273" s="3" t="str">
        <f t="shared" si="9"/>
        <v/>
      </c>
      <c r="I273" s="27" t="str">
        <f t="shared" si="10"/>
        <v>Neu</v>
      </c>
      <c r="J273" s="3" t="s">
        <v>31</v>
      </c>
    </row>
    <row r="274" spans="1:10">
      <c r="A274" s="28">
        <f t="shared" si="8"/>
        <v>273</v>
      </c>
      <c r="B274" s="29" t="s">
        <v>405</v>
      </c>
      <c r="C274" s="27" t="s">
        <v>450</v>
      </c>
      <c r="F274" s="27">
        <v>0</v>
      </c>
      <c r="H274" s="3" t="str">
        <f t="shared" si="9"/>
        <v/>
      </c>
      <c r="I274" s="27" t="str">
        <f t="shared" si="10"/>
        <v>Neu</v>
      </c>
      <c r="J274" s="3" t="s">
        <v>31</v>
      </c>
    </row>
    <row r="275" spans="1:10">
      <c r="A275" s="28">
        <f t="shared" si="8"/>
        <v>274</v>
      </c>
      <c r="B275" s="29" t="s">
        <v>406</v>
      </c>
      <c r="C275" s="27" t="s">
        <v>450</v>
      </c>
      <c r="F275" s="27">
        <v>0</v>
      </c>
      <c r="H275" s="3" t="str">
        <f t="shared" si="9"/>
        <v/>
      </c>
      <c r="I275" s="27" t="str">
        <f t="shared" si="10"/>
        <v>Neu</v>
      </c>
      <c r="J275" s="3" t="s">
        <v>31</v>
      </c>
    </row>
    <row r="276" spans="1:10">
      <c r="A276" s="28">
        <f t="shared" si="8"/>
        <v>275</v>
      </c>
      <c r="B276" s="29" t="s">
        <v>407</v>
      </c>
      <c r="C276" s="27" t="s">
        <v>450</v>
      </c>
      <c r="F276" s="27">
        <v>0</v>
      </c>
      <c r="H276" s="3" t="str">
        <f t="shared" si="9"/>
        <v/>
      </c>
      <c r="I276" s="27" t="str">
        <f t="shared" si="10"/>
        <v>Neu</v>
      </c>
      <c r="J276" s="3" t="s">
        <v>31</v>
      </c>
    </row>
    <row r="277" spans="1:10">
      <c r="A277" s="28">
        <f t="shared" si="8"/>
        <v>276</v>
      </c>
      <c r="B277" s="29" t="s">
        <v>408</v>
      </c>
      <c r="C277" s="27" t="s">
        <v>450</v>
      </c>
      <c r="F277" s="27">
        <v>0</v>
      </c>
      <c r="H277" s="3" t="str">
        <f t="shared" si="9"/>
        <v/>
      </c>
      <c r="I277" s="27" t="str">
        <f t="shared" si="10"/>
        <v>Neu</v>
      </c>
      <c r="J277" s="3" t="s">
        <v>31</v>
      </c>
    </row>
    <row r="278" spans="1:10">
      <c r="A278" s="28">
        <f t="shared" si="8"/>
        <v>277</v>
      </c>
      <c r="B278" s="29" t="s">
        <v>409</v>
      </c>
      <c r="C278" s="27" t="s">
        <v>450</v>
      </c>
      <c r="F278" s="27">
        <v>0</v>
      </c>
      <c r="H278" s="3" t="str">
        <f t="shared" si="9"/>
        <v/>
      </c>
      <c r="I278" s="27" t="str">
        <f t="shared" si="10"/>
        <v>Neu</v>
      </c>
      <c r="J278" s="3" t="s">
        <v>31</v>
      </c>
    </row>
    <row r="279" spans="1:10">
      <c r="A279" s="28">
        <f t="shared" si="8"/>
        <v>278</v>
      </c>
      <c r="B279" s="29" t="s">
        <v>410</v>
      </c>
      <c r="C279" s="27" t="s">
        <v>450</v>
      </c>
      <c r="F279" s="27">
        <v>0</v>
      </c>
      <c r="H279" s="3" t="str">
        <f t="shared" si="9"/>
        <v/>
      </c>
      <c r="I279" s="27" t="str">
        <f t="shared" si="10"/>
        <v>Neu</v>
      </c>
      <c r="J279" s="3" t="s">
        <v>31</v>
      </c>
    </row>
    <row r="280" spans="1:10">
      <c r="A280" s="28">
        <f t="shared" si="8"/>
        <v>279</v>
      </c>
      <c r="B280" s="29" t="s">
        <v>411</v>
      </c>
      <c r="C280" s="27" t="s">
        <v>450</v>
      </c>
      <c r="F280" s="27">
        <v>0</v>
      </c>
      <c r="H280" s="3" t="str">
        <f t="shared" si="9"/>
        <v/>
      </c>
      <c r="I280" s="27" t="str">
        <f t="shared" si="10"/>
        <v>Neu</v>
      </c>
      <c r="J280" s="3" t="s">
        <v>31</v>
      </c>
    </row>
    <row r="281" spans="1:10">
      <c r="A281" s="28">
        <f t="shared" ref="A281:A312" si="11">A280+1</f>
        <v>280</v>
      </c>
      <c r="B281" s="29" t="s">
        <v>412</v>
      </c>
      <c r="C281" s="27" t="s">
        <v>450</v>
      </c>
      <c r="F281" s="27">
        <v>0</v>
      </c>
      <c r="H281" s="3" t="str">
        <f t="shared" si="9"/>
        <v/>
      </c>
      <c r="I281" s="27" t="str">
        <f t="shared" si="10"/>
        <v>Neu</v>
      </c>
      <c r="J281" s="3" t="s">
        <v>31</v>
      </c>
    </row>
    <row r="282" spans="1:10">
      <c r="A282" s="28">
        <f t="shared" si="11"/>
        <v>281</v>
      </c>
      <c r="B282" s="29" t="s">
        <v>413</v>
      </c>
      <c r="C282" s="27" t="s">
        <v>450</v>
      </c>
      <c r="F282" s="27">
        <v>0</v>
      </c>
      <c r="H282" s="3" t="str">
        <f t="shared" si="9"/>
        <v/>
      </c>
      <c r="I282" s="27" t="str">
        <f t="shared" si="10"/>
        <v>Neu</v>
      </c>
      <c r="J282" s="3" t="s">
        <v>31</v>
      </c>
    </row>
    <row r="283" spans="1:10">
      <c r="A283" s="28">
        <f t="shared" si="11"/>
        <v>282</v>
      </c>
      <c r="B283" s="29" t="s">
        <v>414</v>
      </c>
      <c r="C283" s="27" t="s">
        <v>450</v>
      </c>
      <c r="F283" s="27">
        <v>0</v>
      </c>
      <c r="H283" s="3" t="str">
        <f t="shared" si="9"/>
        <v/>
      </c>
      <c r="I283" s="27" t="str">
        <f t="shared" si="10"/>
        <v>Neu</v>
      </c>
      <c r="J283" s="3" t="s">
        <v>31</v>
      </c>
    </row>
    <row r="284" spans="1:10">
      <c r="A284" s="28">
        <f t="shared" si="11"/>
        <v>283</v>
      </c>
      <c r="B284" s="29" t="s">
        <v>415</v>
      </c>
      <c r="C284" s="27" t="s">
        <v>450</v>
      </c>
      <c r="F284" s="27">
        <v>0</v>
      </c>
      <c r="H284" s="3" t="str">
        <f t="shared" si="9"/>
        <v/>
      </c>
      <c r="I284" s="27" t="str">
        <f t="shared" si="10"/>
        <v>Neu</v>
      </c>
      <c r="J284" s="3" t="s">
        <v>31</v>
      </c>
    </row>
    <row r="285" spans="1:10">
      <c r="A285" s="28">
        <f t="shared" si="11"/>
        <v>284</v>
      </c>
      <c r="B285" s="29" t="s">
        <v>416</v>
      </c>
      <c r="C285" s="27" t="s">
        <v>450</v>
      </c>
      <c r="F285" s="27">
        <v>0</v>
      </c>
      <c r="H285" s="3" t="str">
        <f t="shared" si="9"/>
        <v/>
      </c>
      <c r="I285" s="27" t="str">
        <f t="shared" si="10"/>
        <v>Neu</v>
      </c>
      <c r="J285" s="3" t="s">
        <v>31</v>
      </c>
    </row>
    <row r="286" spans="1:10">
      <c r="A286" s="28">
        <f t="shared" si="11"/>
        <v>285</v>
      </c>
      <c r="B286" s="29" t="s">
        <v>417</v>
      </c>
      <c r="C286" s="27" t="s">
        <v>450</v>
      </c>
      <c r="F286" s="27">
        <v>0</v>
      </c>
      <c r="H286" s="3" t="str">
        <f t="shared" si="9"/>
        <v/>
      </c>
      <c r="I286" s="27" t="str">
        <f t="shared" si="10"/>
        <v>Neu</v>
      </c>
      <c r="J286" s="3" t="s">
        <v>31</v>
      </c>
    </row>
    <row r="287" spans="1:10">
      <c r="A287" s="28">
        <f t="shared" si="11"/>
        <v>286</v>
      </c>
      <c r="B287" s="29" t="s">
        <v>418</v>
      </c>
      <c r="C287" s="27" t="s">
        <v>450</v>
      </c>
      <c r="F287" s="27">
        <v>0</v>
      </c>
      <c r="H287" s="3" t="str">
        <f t="shared" si="9"/>
        <v/>
      </c>
      <c r="I287" s="27" t="str">
        <f t="shared" si="10"/>
        <v>Neu</v>
      </c>
      <c r="J287" s="3" t="s">
        <v>31</v>
      </c>
    </row>
    <row r="288" spans="1:10">
      <c r="A288" s="28">
        <f t="shared" si="11"/>
        <v>287</v>
      </c>
      <c r="B288" s="29" t="s">
        <v>419</v>
      </c>
      <c r="C288" s="27" t="s">
        <v>450</v>
      </c>
      <c r="F288" s="27">
        <v>0</v>
      </c>
      <c r="H288" s="3" t="str">
        <f t="shared" si="9"/>
        <v/>
      </c>
      <c r="I288" s="27" t="str">
        <f t="shared" si="10"/>
        <v>Neu</v>
      </c>
      <c r="J288" s="3" t="s">
        <v>31</v>
      </c>
    </row>
    <row r="289" spans="1:10">
      <c r="A289" s="28">
        <f t="shared" si="11"/>
        <v>288</v>
      </c>
      <c r="B289" s="29" t="s">
        <v>420</v>
      </c>
      <c r="C289" s="27" t="s">
        <v>450</v>
      </c>
      <c r="F289" s="27">
        <v>0</v>
      </c>
      <c r="H289" s="3" t="str">
        <f t="shared" si="9"/>
        <v/>
      </c>
      <c r="I289" s="27" t="str">
        <f t="shared" si="10"/>
        <v>Neu</v>
      </c>
      <c r="J289" s="3" t="s">
        <v>31</v>
      </c>
    </row>
    <row r="290" spans="1:10">
      <c r="A290" s="28">
        <f t="shared" si="11"/>
        <v>289</v>
      </c>
      <c r="B290" s="29" t="s">
        <v>421</v>
      </c>
      <c r="C290" s="27" t="s">
        <v>450</v>
      </c>
      <c r="F290" s="27">
        <v>0</v>
      </c>
      <c r="H290" s="3" t="str">
        <f t="shared" si="9"/>
        <v/>
      </c>
      <c r="I290" s="27" t="str">
        <f t="shared" si="10"/>
        <v>Neu</v>
      </c>
      <c r="J290" s="3" t="s">
        <v>31</v>
      </c>
    </row>
    <row r="291" spans="1:10">
      <c r="A291" s="28">
        <f t="shared" si="11"/>
        <v>290</v>
      </c>
      <c r="B291" s="29" t="s">
        <v>422</v>
      </c>
      <c r="C291" s="27" t="s">
        <v>450</v>
      </c>
      <c r="F291" s="27">
        <v>0</v>
      </c>
      <c r="H291" s="3" t="str">
        <f t="shared" si="9"/>
        <v/>
      </c>
      <c r="I291" s="27" t="str">
        <f t="shared" si="10"/>
        <v>Neu</v>
      </c>
      <c r="J291" s="3" t="s">
        <v>31</v>
      </c>
    </row>
    <row r="292" spans="1:10">
      <c r="A292" s="28">
        <f t="shared" si="11"/>
        <v>291</v>
      </c>
      <c r="B292" s="29" t="s">
        <v>423</v>
      </c>
      <c r="C292" s="27" t="s">
        <v>450</v>
      </c>
      <c r="F292" s="27">
        <v>0</v>
      </c>
      <c r="H292" s="3" t="str">
        <f t="shared" si="9"/>
        <v/>
      </c>
      <c r="I292" s="27" t="str">
        <f t="shared" si="10"/>
        <v>Neu</v>
      </c>
      <c r="J292" s="3" t="s">
        <v>31</v>
      </c>
    </row>
    <row r="293" spans="1:10">
      <c r="A293" s="28">
        <f t="shared" si="11"/>
        <v>292</v>
      </c>
      <c r="B293" s="29" t="s">
        <v>424</v>
      </c>
      <c r="C293" s="27" t="s">
        <v>450</v>
      </c>
      <c r="F293" s="27">
        <v>0</v>
      </c>
      <c r="H293" s="3" t="str">
        <f t="shared" si="9"/>
        <v/>
      </c>
      <c r="I293" s="27" t="str">
        <f t="shared" si="10"/>
        <v>Neu</v>
      </c>
      <c r="J293" s="3" t="s">
        <v>31</v>
      </c>
    </row>
    <row r="294" spans="1:10">
      <c r="A294" s="28">
        <f t="shared" si="11"/>
        <v>293</v>
      </c>
      <c r="B294" s="29" t="s">
        <v>425</v>
      </c>
      <c r="C294" s="27" t="s">
        <v>450</v>
      </c>
      <c r="F294" s="27">
        <v>0</v>
      </c>
      <c r="H294" s="3" t="str">
        <f t="shared" si="9"/>
        <v/>
      </c>
      <c r="I294" s="27" t="str">
        <f t="shared" si="10"/>
        <v>Neu</v>
      </c>
      <c r="J294" s="3" t="s">
        <v>31</v>
      </c>
    </row>
    <row r="295" spans="1:10">
      <c r="A295" s="28">
        <f t="shared" si="11"/>
        <v>294</v>
      </c>
      <c r="B295" s="29" t="s">
        <v>426</v>
      </c>
      <c r="C295" s="27" t="s">
        <v>450</v>
      </c>
      <c r="F295" s="27">
        <v>0</v>
      </c>
      <c r="H295" s="3" t="str">
        <f t="shared" si="9"/>
        <v/>
      </c>
      <c r="I295" s="27" t="str">
        <f t="shared" si="10"/>
        <v>Neu</v>
      </c>
      <c r="J295" s="3" t="s">
        <v>31</v>
      </c>
    </row>
    <row r="296" spans="1:10">
      <c r="A296" s="28">
        <f t="shared" si="11"/>
        <v>295</v>
      </c>
      <c r="B296" s="29" t="s">
        <v>427</v>
      </c>
      <c r="C296" s="27" t="s">
        <v>450</v>
      </c>
      <c r="F296" s="27">
        <v>0</v>
      </c>
      <c r="H296" s="3" t="str">
        <f t="shared" si="9"/>
        <v/>
      </c>
      <c r="I296" s="27" t="str">
        <f t="shared" si="10"/>
        <v>Neu</v>
      </c>
      <c r="J296" s="3" t="s">
        <v>31</v>
      </c>
    </row>
    <row r="297" spans="1:10">
      <c r="A297" s="28">
        <f t="shared" si="11"/>
        <v>296</v>
      </c>
      <c r="B297" s="29" t="s">
        <v>428</v>
      </c>
      <c r="C297" s="27" t="s">
        <v>450</v>
      </c>
      <c r="F297" s="27">
        <v>0</v>
      </c>
      <c r="H297" s="3" t="str">
        <f t="shared" si="9"/>
        <v/>
      </c>
      <c r="I297" s="27" t="str">
        <f t="shared" si="10"/>
        <v>Neu</v>
      </c>
      <c r="J297" s="3" t="s">
        <v>31</v>
      </c>
    </row>
    <row r="298" spans="1:10">
      <c r="A298" s="28">
        <f t="shared" si="11"/>
        <v>297</v>
      </c>
      <c r="B298" s="29" t="s">
        <v>429</v>
      </c>
      <c r="C298" s="27" t="s">
        <v>450</v>
      </c>
      <c r="F298" s="27">
        <v>0</v>
      </c>
      <c r="H298" s="3" t="str">
        <f t="shared" si="9"/>
        <v/>
      </c>
      <c r="I298" s="27" t="str">
        <f t="shared" si="10"/>
        <v>Neu</v>
      </c>
      <c r="J298" s="3" t="s">
        <v>31</v>
      </c>
    </row>
    <row r="299" spans="1:10">
      <c r="A299" s="28">
        <f t="shared" si="11"/>
        <v>298</v>
      </c>
      <c r="B299" s="29" t="s">
        <v>430</v>
      </c>
      <c r="C299" s="27" t="s">
        <v>450</v>
      </c>
      <c r="F299" s="27">
        <v>0</v>
      </c>
      <c r="H299" s="3" t="str">
        <f t="shared" si="9"/>
        <v/>
      </c>
      <c r="I299" s="27" t="str">
        <f t="shared" si="10"/>
        <v>Neu</v>
      </c>
      <c r="J299" s="3" t="s">
        <v>31</v>
      </c>
    </row>
    <row r="300" spans="1:10">
      <c r="A300" s="28">
        <f t="shared" si="11"/>
        <v>299</v>
      </c>
      <c r="B300" s="29" t="s">
        <v>431</v>
      </c>
      <c r="C300" s="27" t="s">
        <v>450</v>
      </c>
      <c r="F300" s="27">
        <v>0</v>
      </c>
      <c r="H300" s="3" t="str">
        <f t="shared" si="9"/>
        <v/>
      </c>
      <c r="I300" s="27" t="str">
        <f t="shared" si="10"/>
        <v>Neu</v>
      </c>
      <c r="J300" s="3" t="s">
        <v>31</v>
      </c>
    </row>
    <row r="301" spans="1:10">
      <c r="A301" s="28">
        <f t="shared" si="11"/>
        <v>300</v>
      </c>
      <c r="B301" s="29" t="s">
        <v>432</v>
      </c>
      <c r="C301" s="27" t="s">
        <v>450</v>
      </c>
      <c r="F301" s="27">
        <v>0</v>
      </c>
      <c r="H301" s="3" t="str">
        <f t="shared" si="9"/>
        <v/>
      </c>
      <c r="I301" s="27" t="str">
        <f t="shared" si="10"/>
        <v>Neu</v>
      </c>
      <c r="J301" s="3" t="s">
        <v>31</v>
      </c>
    </row>
    <row r="302" spans="1:10">
      <c r="A302" s="28">
        <f t="shared" si="11"/>
        <v>301</v>
      </c>
      <c r="B302" s="29" t="s">
        <v>433</v>
      </c>
      <c r="C302" s="27" t="s">
        <v>450</v>
      </c>
      <c r="F302" s="27">
        <v>0</v>
      </c>
      <c r="H302" s="3" t="str">
        <f t="shared" si="9"/>
        <v/>
      </c>
      <c r="I302" s="27" t="str">
        <f t="shared" si="10"/>
        <v>Neu</v>
      </c>
      <c r="J302" s="3" t="s">
        <v>31</v>
      </c>
    </row>
    <row r="303" spans="1:10">
      <c r="A303" s="28">
        <f t="shared" si="11"/>
        <v>302</v>
      </c>
      <c r="B303" s="29" t="s">
        <v>434</v>
      </c>
      <c r="C303" s="27" t="s">
        <v>450</v>
      </c>
      <c r="F303" s="27">
        <v>0</v>
      </c>
      <c r="H303" s="3" t="str">
        <f t="shared" si="9"/>
        <v/>
      </c>
      <c r="I303" s="27" t="str">
        <f t="shared" si="10"/>
        <v>Neu</v>
      </c>
      <c r="J303" s="3" t="s">
        <v>31</v>
      </c>
    </row>
    <row r="304" spans="1:10">
      <c r="A304" s="28">
        <f t="shared" si="11"/>
        <v>303</v>
      </c>
      <c r="B304" s="29" t="s">
        <v>435</v>
      </c>
      <c r="C304" s="27" t="s">
        <v>450</v>
      </c>
      <c r="F304" s="27">
        <v>0</v>
      </c>
      <c r="H304" s="3" t="str">
        <f t="shared" si="9"/>
        <v/>
      </c>
      <c r="I304" s="27" t="str">
        <f t="shared" si="10"/>
        <v>Neu</v>
      </c>
      <c r="J304" s="3" t="s">
        <v>31</v>
      </c>
    </row>
    <row r="305" spans="1:10">
      <c r="A305" s="28">
        <f t="shared" si="11"/>
        <v>304</v>
      </c>
      <c r="B305" s="29" t="s">
        <v>436</v>
      </c>
      <c r="C305" s="27" t="s">
        <v>450</v>
      </c>
      <c r="F305" s="27">
        <v>0</v>
      </c>
      <c r="H305" s="3" t="str">
        <f t="shared" si="9"/>
        <v/>
      </c>
      <c r="I305" s="27" t="str">
        <f t="shared" si="10"/>
        <v>Neu</v>
      </c>
      <c r="J305" s="3" t="s">
        <v>31</v>
      </c>
    </row>
    <row r="306" spans="1:10">
      <c r="A306" s="28">
        <f t="shared" si="11"/>
        <v>305</v>
      </c>
      <c r="B306" s="29" t="s">
        <v>437</v>
      </c>
      <c r="C306" s="27" t="s">
        <v>450</v>
      </c>
      <c r="F306" s="27">
        <v>0</v>
      </c>
      <c r="H306" s="3" t="str">
        <f t="shared" si="9"/>
        <v/>
      </c>
      <c r="I306" s="27" t="str">
        <f t="shared" si="10"/>
        <v>Neu</v>
      </c>
      <c r="J306" s="3" t="s">
        <v>31</v>
      </c>
    </row>
    <row r="307" spans="1:10">
      <c r="A307" s="28">
        <f t="shared" si="11"/>
        <v>306</v>
      </c>
      <c r="B307" s="29" t="s">
        <v>438</v>
      </c>
      <c r="C307" s="27" t="s">
        <v>450</v>
      </c>
      <c r="F307" s="27">
        <v>0</v>
      </c>
      <c r="H307" s="3" t="str">
        <f t="shared" si="9"/>
        <v/>
      </c>
      <c r="I307" s="27" t="str">
        <f t="shared" si="10"/>
        <v>Neu</v>
      </c>
      <c r="J307" s="3" t="s">
        <v>31</v>
      </c>
    </row>
    <row r="308" spans="1:10">
      <c r="A308" s="28">
        <f t="shared" si="11"/>
        <v>307</v>
      </c>
      <c r="B308" s="29" t="s">
        <v>439</v>
      </c>
      <c r="C308" s="27" t="s">
        <v>450</v>
      </c>
      <c r="F308" s="27">
        <v>0</v>
      </c>
      <c r="H308" s="3" t="str">
        <f t="shared" si="9"/>
        <v/>
      </c>
      <c r="I308" s="27" t="str">
        <f t="shared" si="10"/>
        <v>Neu</v>
      </c>
      <c r="J308" s="3" t="s">
        <v>31</v>
      </c>
    </row>
    <row r="309" spans="1:10">
      <c r="A309" s="28">
        <f t="shared" si="11"/>
        <v>308</v>
      </c>
      <c r="B309" s="29" t="s">
        <v>440</v>
      </c>
      <c r="C309" s="27" t="s">
        <v>450</v>
      </c>
      <c r="F309" s="27">
        <v>0</v>
      </c>
      <c r="H309" s="3" t="str">
        <f t="shared" si="9"/>
        <v/>
      </c>
      <c r="I309" s="27" t="str">
        <f t="shared" si="10"/>
        <v>Neu</v>
      </c>
      <c r="J309" s="3" t="s">
        <v>31</v>
      </c>
    </row>
    <row r="310" spans="1:10">
      <c r="A310" s="28">
        <f t="shared" si="11"/>
        <v>309</v>
      </c>
      <c r="B310" s="29" t="s">
        <v>441</v>
      </c>
      <c r="C310" s="27" t="s">
        <v>450</v>
      </c>
      <c r="F310" s="27">
        <v>0</v>
      </c>
      <c r="H310" s="3" t="str">
        <f t="shared" si="9"/>
        <v/>
      </c>
      <c r="I310" s="27" t="str">
        <f t="shared" si="10"/>
        <v>Neu</v>
      </c>
      <c r="J310" s="3" t="s">
        <v>31</v>
      </c>
    </row>
    <row r="311" spans="1:10">
      <c r="A311" s="28">
        <f t="shared" si="11"/>
        <v>310</v>
      </c>
      <c r="B311" s="29" t="s">
        <v>442</v>
      </c>
      <c r="C311" s="27" t="s">
        <v>450</v>
      </c>
      <c r="F311" s="27">
        <v>0</v>
      </c>
      <c r="H311" s="3" t="str">
        <f t="shared" si="9"/>
        <v/>
      </c>
      <c r="I311" s="27" t="str">
        <f t="shared" si="10"/>
        <v>Neu</v>
      </c>
      <c r="J311" s="3" t="s">
        <v>31</v>
      </c>
    </row>
    <row r="312" spans="1:10">
      <c r="A312" s="28">
        <f t="shared" si="11"/>
        <v>311</v>
      </c>
      <c r="B312" s="29" t="s">
        <v>443</v>
      </c>
      <c r="C312" s="27" t="s">
        <v>450</v>
      </c>
      <c r="F312" s="27">
        <v>0</v>
      </c>
      <c r="H312" s="3" t="str">
        <f t="shared" si="9"/>
        <v/>
      </c>
      <c r="I312" s="27" t="str">
        <f t="shared" si="10"/>
        <v>Neu</v>
      </c>
      <c r="J312" s="3" t="s">
        <v>31</v>
      </c>
    </row>
    <row r="313" spans="1:10">
      <c r="A313" s="28">
        <f t="shared" ref="A313:A318" si="12">A312+1</f>
        <v>312</v>
      </c>
      <c r="B313" s="29" t="s">
        <v>444</v>
      </c>
      <c r="C313" s="27" t="s">
        <v>450</v>
      </c>
      <c r="F313" s="27">
        <v>0</v>
      </c>
      <c r="H313" s="3" t="str">
        <f t="shared" si="9"/>
        <v/>
      </c>
      <c r="I313" s="27" t="str">
        <f t="shared" si="10"/>
        <v>Neu</v>
      </c>
      <c r="J313" s="3" t="s">
        <v>31</v>
      </c>
    </row>
    <row r="314" spans="1:10">
      <c r="A314" s="28">
        <f t="shared" si="12"/>
        <v>313</v>
      </c>
      <c r="B314" s="29" t="s">
        <v>445</v>
      </c>
      <c r="C314" s="27" t="s">
        <v>450</v>
      </c>
      <c r="F314" s="27">
        <v>0</v>
      </c>
      <c r="H314" s="3" t="str">
        <f t="shared" si="9"/>
        <v/>
      </c>
      <c r="I314" s="27" t="str">
        <f t="shared" si="10"/>
        <v>Neu</v>
      </c>
      <c r="J314" s="3" t="s">
        <v>31</v>
      </c>
    </row>
    <row r="315" spans="1:10">
      <c r="A315" s="28">
        <f t="shared" si="12"/>
        <v>314</v>
      </c>
      <c r="B315" s="29" t="s">
        <v>446</v>
      </c>
      <c r="C315" s="27" t="s">
        <v>450</v>
      </c>
      <c r="F315" s="27">
        <v>0</v>
      </c>
      <c r="H315" s="3" t="str">
        <f t="shared" si="9"/>
        <v/>
      </c>
      <c r="I315" s="27" t="str">
        <f t="shared" si="10"/>
        <v>Neu</v>
      </c>
      <c r="J315" s="3" t="s">
        <v>31</v>
      </c>
    </row>
    <row r="316" spans="1:10">
      <c r="A316" s="28">
        <f t="shared" si="12"/>
        <v>315</v>
      </c>
      <c r="B316" s="29" t="s">
        <v>447</v>
      </c>
      <c r="C316" s="27" t="s">
        <v>450</v>
      </c>
      <c r="F316" s="27">
        <v>0</v>
      </c>
      <c r="H316" s="3" t="str">
        <f t="shared" si="9"/>
        <v/>
      </c>
      <c r="I316" s="27" t="str">
        <f t="shared" si="10"/>
        <v>Neu</v>
      </c>
      <c r="J316" s="3" t="s">
        <v>31</v>
      </c>
    </row>
    <row r="317" spans="1:10">
      <c r="A317" s="28">
        <f t="shared" si="12"/>
        <v>316</v>
      </c>
      <c r="B317" s="29" t="s">
        <v>448</v>
      </c>
      <c r="C317" s="27" t="s">
        <v>450</v>
      </c>
      <c r="F317" s="27">
        <v>0</v>
      </c>
      <c r="H317" s="3" t="str">
        <f t="shared" si="9"/>
        <v/>
      </c>
      <c r="I317" s="27" t="str">
        <f t="shared" si="10"/>
        <v>Neu</v>
      </c>
      <c r="J317" s="3" t="s">
        <v>31</v>
      </c>
    </row>
    <row r="318" spans="1:10">
      <c r="A318" s="28">
        <f t="shared" si="12"/>
        <v>317</v>
      </c>
      <c r="B318" s="29" t="s">
        <v>449</v>
      </c>
      <c r="C318" s="27" t="s">
        <v>450</v>
      </c>
      <c r="F318" s="27">
        <v>0</v>
      </c>
      <c r="H318" s="3" t="str">
        <f t="shared" si="9"/>
        <v/>
      </c>
      <c r="I318" s="27" t="str">
        <f t="shared" si="10"/>
        <v>Neu</v>
      </c>
      <c r="J318" s="3" t="s">
        <v>31</v>
      </c>
    </row>
  </sheetData>
  <autoFilter ref="A1:J318" xr:uid="{00000000-0009-0000-0000-000001000000}">
    <sortState xmlns:xlrd2="http://schemas.microsoft.com/office/spreadsheetml/2017/richdata2" ref="A2:J318">
      <sortCondition ref="H1:H318"/>
    </sortState>
  </autoFilter>
  <phoneticPr fontId="14" type="noConversion"/>
  <dataValidations count="1">
    <dataValidation type="whole" allowBlank="1" showErrorMessage="1" errorTitle="Ungültiger Score" error="Bitte geben Sie einen Wert zwischen 0 und 10 ein." sqref="E2:E247" xr:uid="{00000000-0002-0000-0100-000000000000}">
      <formula1>0</formula1>
      <formula2>10</formula2>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1AEFE-8CB0-514E-9DA8-ECC264C4C8A5}">
  <dimension ref="A1"/>
  <sheetViews>
    <sheetView workbookViewId="0">
      <selection activeCell="C6" sqref="C6"/>
    </sheetView>
  </sheetViews>
  <sheetFormatPr baseColWidth="10"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943E4-DF66-8842-B0C7-0A4E90C82F39}">
  <dimension ref="A1:B8"/>
  <sheetViews>
    <sheetView topLeftCell="A8" workbookViewId="0">
      <selection activeCell="B9" sqref="B9"/>
    </sheetView>
  </sheetViews>
  <sheetFormatPr baseColWidth="10" defaultRowHeight="15"/>
  <sheetData>
    <row r="1" spans="1:2" ht="57" customHeight="1">
      <c r="A1" s="21" t="s">
        <v>361</v>
      </c>
      <c r="B1" s="21" t="s">
        <v>362</v>
      </c>
    </row>
    <row r="2" spans="1:2" ht="409.6">
      <c r="A2" t="s">
        <v>364</v>
      </c>
      <c r="B2" s="19" t="s">
        <v>363</v>
      </c>
    </row>
    <row r="3" spans="1:2" ht="409.6">
      <c r="A3" t="s">
        <v>370</v>
      </c>
      <c r="B3" s="19" t="s">
        <v>371</v>
      </c>
    </row>
    <row r="4" spans="1:2" ht="409.6">
      <c r="A4" t="s">
        <v>377</v>
      </c>
      <c r="B4" s="19" t="s">
        <v>378</v>
      </c>
    </row>
    <row r="5" spans="1:2" ht="409.6">
      <c r="A5" t="s">
        <v>451</v>
      </c>
      <c r="B5" s="19" t="s">
        <v>452</v>
      </c>
    </row>
    <row r="6" spans="1:2" ht="409.6">
      <c r="A6" t="s">
        <v>458</v>
      </c>
      <c r="B6" s="19" t="s">
        <v>459</v>
      </c>
    </row>
    <row r="7" spans="1:2" ht="409.6">
      <c r="A7" t="s">
        <v>466</v>
      </c>
      <c r="B7" s="19" t="s">
        <v>467</v>
      </c>
    </row>
    <row r="8" spans="1:2" ht="409.6">
      <c r="A8" t="s">
        <v>479</v>
      </c>
      <c r="B8" s="19"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6"/>
  <sheetViews>
    <sheetView topLeftCell="A6" workbookViewId="0">
      <selection sqref="A1:D1"/>
    </sheetView>
  </sheetViews>
  <sheetFormatPr baseColWidth="10" defaultColWidth="8.83203125" defaultRowHeight="15"/>
  <cols>
    <col min="1" max="1" width="30" customWidth="1"/>
    <col min="2" max="2" width="70" customWidth="1"/>
    <col min="3" max="4" width="5" customWidth="1"/>
  </cols>
  <sheetData>
    <row r="1" spans="1:4" ht="30" customHeight="1">
      <c r="A1" s="30" t="s">
        <v>281</v>
      </c>
      <c r="B1" s="31"/>
      <c r="C1" s="31"/>
      <c r="D1" s="31"/>
    </row>
    <row r="3" spans="1:4">
      <c r="A3" s="14"/>
      <c r="B3" s="14"/>
    </row>
    <row r="4" spans="1:4">
      <c r="A4" s="32" t="s">
        <v>282</v>
      </c>
      <c r="B4" s="33"/>
      <c r="C4" s="31"/>
      <c r="D4" s="31"/>
    </row>
    <row r="5" spans="1:4">
      <c r="A5" s="14"/>
      <c r="B5" s="14"/>
    </row>
    <row r="6" spans="1:4" ht="17">
      <c r="A6" s="15" t="s">
        <v>283</v>
      </c>
      <c r="B6" s="16" t="s">
        <v>284</v>
      </c>
    </row>
    <row r="7" spans="1:4">
      <c r="A7" s="14"/>
      <c r="B7" s="14"/>
    </row>
    <row r="8" spans="1:4" ht="17">
      <c r="A8" s="15" t="s">
        <v>285</v>
      </c>
      <c r="B8" s="16" t="s">
        <v>286</v>
      </c>
    </row>
    <row r="9" spans="1:4">
      <c r="A9" s="17" t="s">
        <v>287</v>
      </c>
      <c r="B9" s="17" t="s">
        <v>288</v>
      </c>
    </row>
    <row r="10" spans="1:4">
      <c r="A10" s="17" t="s">
        <v>289</v>
      </c>
      <c r="B10" s="17" t="s">
        <v>290</v>
      </c>
    </row>
    <row r="11" spans="1:4">
      <c r="A11" s="17" t="s">
        <v>291</v>
      </c>
      <c r="B11" s="17" t="s">
        <v>292</v>
      </c>
    </row>
    <row r="12" spans="1:4">
      <c r="A12" s="14"/>
      <c r="B12" s="14"/>
    </row>
    <row r="13" spans="1:4" ht="17">
      <c r="A13" s="15" t="s">
        <v>293</v>
      </c>
      <c r="B13" s="16"/>
    </row>
    <row r="14" spans="1:4">
      <c r="A14" s="17" t="s">
        <v>294</v>
      </c>
      <c r="B14" s="17" t="s">
        <v>295</v>
      </c>
    </row>
    <row r="15" spans="1:4">
      <c r="A15" s="17" t="s">
        <v>296</v>
      </c>
      <c r="B15" s="17" t="s">
        <v>297</v>
      </c>
    </row>
    <row r="16" spans="1:4">
      <c r="A16" s="17" t="s">
        <v>298</v>
      </c>
      <c r="B16" s="17" t="s">
        <v>299</v>
      </c>
    </row>
    <row r="17" spans="1:4">
      <c r="A17" s="17" t="s">
        <v>300</v>
      </c>
      <c r="B17" s="17" t="s">
        <v>301</v>
      </c>
    </row>
    <row r="18" spans="1:4">
      <c r="A18" s="17" t="s">
        <v>302</v>
      </c>
      <c r="B18" s="17" t="s">
        <v>303</v>
      </c>
    </row>
    <row r="19" spans="1:4">
      <c r="A19" s="17" t="s">
        <v>304</v>
      </c>
      <c r="B19" s="17" t="s">
        <v>305</v>
      </c>
    </row>
    <row r="20" spans="1:4">
      <c r="A20" s="17" t="s">
        <v>306</v>
      </c>
      <c r="B20" s="17" t="s">
        <v>307</v>
      </c>
    </row>
    <row r="21" spans="1:4">
      <c r="A21" s="17" t="s">
        <v>308</v>
      </c>
      <c r="B21" s="17" t="s">
        <v>309</v>
      </c>
    </row>
    <row r="22" spans="1:4">
      <c r="A22" s="17" t="s">
        <v>310</v>
      </c>
      <c r="B22" s="17" t="s">
        <v>311</v>
      </c>
    </row>
    <row r="23" spans="1:4">
      <c r="A23" s="17" t="s">
        <v>312</v>
      </c>
      <c r="B23" s="17" t="s">
        <v>313</v>
      </c>
    </row>
    <row r="24" spans="1:4">
      <c r="A24" s="17" t="s">
        <v>314</v>
      </c>
      <c r="B24" s="17" t="s">
        <v>315</v>
      </c>
    </row>
    <row r="25" spans="1:4">
      <c r="A25" s="17" t="s">
        <v>316</v>
      </c>
      <c r="B25" s="17" t="s">
        <v>317</v>
      </c>
    </row>
    <row r="26" spans="1:4">
      <c r="A26" s="17" t="s">
        <v>318</v>
      </c>
      <c r="B26" s="17" t="s">
        <v>319</v>
      </c>
    </row>
    <row r="27" spans="1:4">
      <c r="A27" s="14"/>
      <c r="B27" s="14"/>
    </row>
    <row r="28" spans="1:4">
      <c r="A28" s="32" t="s">
        <v>320</v>
      </c>
      <c r="B28" s="33"/>
      <c r="C28" s="31"/>
      <c r="D28" s="31"/>
    </row>
    <row r="29" spans="1:4">
      <c r="A29" s="14"/>
      <c r="B29" s="14"/>
    </row>
    <row r="30" spans="1:4" ht="16">
      <c r="A30" s="14" t="s">
        <v>321</v>
      </c>
      <c r="B30" s="14" t="s">
        <v>322</v>
      </c>
    </row>
    <row r="31" spans="1:4" ht="16">
      <c r="A31" s="14" t="s">
        <v>323</v>
      </c>
      <c r="B31" s="14" t="s">
        <v>324</v>
      </c>
    </row>
    <row r="32" spans="1:4" ht="16">
      <c r="A32" s="14" t="s">
        <v>325</v>
      </c>
      <c r="B32" s="14" t="s">
        <v>326</v>
      </c>
    </row>
    <row r="33" spans="1:4" ht="16">
      <c r="A33" s="14" t="s">
        <v>327</v>
      </c>
      <c r="B33" s="14" t="s">
        <v>328</v>
      </c>
    </row>
    <row r="34" spans="1:4">
      <c r="A34" s="14"/>
      <c r="B34" s="14"/>
    </row>
    <row r="35" spans="1:4">
      <c r="A35" s="32" t="s">
        <v>329</v>
      </c>
      <c r="B35" s="33"/>
      <c r="C35" s="31"/>
      <c r="D35" s="31"/>
    </row>
    <row r="36" spans="1:4">
      <c r="A36" s="14"/>
      <c r="B36" s="14"/>
    </row>
    <row r="37" spans="1:4" ht="16">
      <c r="A37" s="14" t="s">
        <v>330</v>
      </c>
      <c r="B37" s="14" t="s">
        <v>331</v>
      </c>
    </row>
    <row r="38" spans="1:4" ht="16">
      <c r="A38" s="14" t="s">
        <v>332</v>
      </c>
      <c r="B38" s="14" t="s">
        <v>333</v>
      </c>
    </row>
    <row r="39" spans="1:4">
      <c r="A39" s="14"/>
      <c r="B39" s="14"/>
    </row>
    <row r="40" spans="1:4">
      <c r="A40" s="32" t="s">
        <v>334</v>
      </c>
      <c r="B40" s="33"/>
      <c r="C40" s="31"/>
      <c r="D40" s="31"/>
    </row>
    <row r="41" spans="1:4">
      <c r="A41" s="14"/>
      <c r="B41" s="14"/>
    </row>
    <row r="42" spans="1:4" ht="16">
      <c r="A42" s="14" t="s">
        <v>335</v>
      </c>
      <c r="B42" s="14" t="s">
        <v>336</v>
      </c>
    </row>
    <row r="43" spans="1:4" ht="16">
      <c r="A43" s="14" t="s">
        <v>337</v>
      </c>
      <c r="B43" s="14" t="s">
        <v>338</v>
      </c>
    </row>
    <row r="44" spans="1:4" ht="16">
      <c r="A44" s="14" t="s">
        <v>339</v>
      </c>
      <c r="B44" s="14" t="s">
        <v>340</v>
      </c>
    </row>
    <row r="45" spans="1:4">
      <c r="A45" s="14"/>
      <c r="B45" s="14"/>
    </row>
    <row r="46" spans="1:4">
      <c r="A46" s="32" t="s">
        <v>341</v>
      </c>
      <c r="B46" s="33"/>
      <c r="C46" s="31"/>
      <c r="D46" s="31"/>
    </row>
    <row r="47" spans="1:4">
      <c r="A47" s="14"/>
      <c r="B47" s="14"/>
    </row>
    <row r="48" spans="1:4" ht="16">
      <c r="A48" s="14" t="s">
        <v>342</v>
      </c>
      <c r="B48" s="14" t="s">
        <v>343</v>
      </c>
    </row>
    <row r="49" spans="1:4" ht="16">
      <c r="A49" s="14" t="s">
        <v>344</v>
      </c>
      <c r="B49" s="14" t="s">
        <v>345</v>
      </c>
    </row>
    <row r="50" spans="1:4" ht="16">
      <c r="A50" s="14" t="s">
        <v>346</v>
      </c>
      <c r="B50" s="14" t="s">
        <v>347</v>
      </c>
    </row>
    <row r="51" spans="1:4" ht="16">
      <c r="A51" s="14" t="s">
        <v>348</v>
      </c>
      <c r="B51" s="14" t="s">
        <v>349</v>
      </c>
    </row>
    <row r="52" spans="1:4">
      <c r="A52" s="14"/>
      <c r="B52" s="14"/>
    </row>
    <row r="53" spans="1:4">
      <c r="A53" s="32" t="s">
        <v>350</v>
      </c>
      <c r="B53" s="33"/>
      <c r="C53" s="31"/>
      <c r="D53" s="31"/>
    </row>
    <row r="54" spans="1:4">
      <c r="A54" s="14"/>
      <c r="B54" s="14"/>
    </row>
    <row r="55" spans="1:4" ht="16">
      <c r="A55" s="14" t="s">
        <v>351</v>
      </c>
      <c r="B55" s="14" t="s">
        <v>352</v>
      </c>
    </row>
    <row r="56" spans="1:4" ht="16">
      <c r="A56" s="14" t="s">
        <v>353</v>
      </c>
      <c r="B56" s="14" t="s">
        <v>354</v>
      </c>
    </row>
  </sheetData>
  <mergeCells count="7">
    <mergeCell ref="A1:D1"/>
    <mergeCell ref="A40:D40"/>
    <mergeCell ref="A53:D53"/>
    <mergeCell ref="A35:D35"/>
    <mergeCell ref="A4:D4"/>
    <mergeCell ref="A28:D28"/>
    <mergeCell ref="A46:D4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F8484-BDE1-A947-A90A-C8E63D3D8661}">
  <dimension ref="A1:B2"/>
  <sheetViews>
    <sheetView topLeftCell="A2" workbookViewId="0">
      <selection activeCell="B2" sqref="B2"/>
    </sheetView>
  </sheetViews>
  <sheetFormatPr baseColWidth="10" defaultRowHeight="15"/>
  <cols>
    <col min="1" max="1" width="36.1640625" customWidth="1"/>
  </cols>
  <sheetData>
    <row r="1" spans="1:2" ht="409.6">
      <c r="A1" s="18" t="s">
        <v>355</v>
      </c>
      <c r="B1" s="19" t="s">
        <v>356</v>
      </c>
    </row>
    <row r="2" spans="1:2" ht="409.6">
      <c r="A2" t="s">
        <v>358</v>
      </c>
      <c r="B2" s="19" t="s">
        <v>357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Grammatik Tracker</vt:lpstr>
      <vt:lpstr>Sheet3</vt:lpstr>
      <vt:lpstr>Session Feedback</vt:lpstr>
      <vt:lpstr>Anleitung</vt:lpstr>
      <vt:lpstr>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Pechstein</cp:lastModifiedBy>
  <dcterms:created xsi:type="dcterms:W3CDTF">2025-11-11T22:18:28Z</dcterms:created>
  <dcterms:modified xsi:type="dcterms:W3CDTF">2025-12-09T15:49:27Z</dcterms:modified>
</cp:coreProperties>
</file>